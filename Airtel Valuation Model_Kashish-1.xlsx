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95" windowHeight="8808" tabRatio="500"/>
  </bookViews>
  <sheets>
    <sheet name="Index" sheetId="1" r:id="rId1"/>
    <sheet name="Assumptions" sheetId="2" r:id="rId2"/>
    <sheet name="P&amp;L Input" sheetId="3" r:id="rId3"/>
    <sheet name="BS Input" sheetId="4" r:id="rId4"/>
    <sheet name="CF Input" sheetId="5" r:id="rId5"/>
    <sheet name="Common Sizing" sheetId="6" r:id="rId6"/>
    <sheet name="Revenue Buildup" sheetId="7" r:id="rId7"/>
    <sheet name="Cost Builup" sheetId="8" r:id="rId8"/>
    <sheet name="FAS" sheetId="9" r:id="rId9"/>
    <sheet name="BS items" sheetId="10" r:id="rId10"/>
    <sheet name="Working Capital" sheetId="11" r:id="rId11"/>
    <sheet name="Income Statement" sheetId="12" r:id="rId12"/>
    <sheet name="Balance Sheet" sheetId="13" r:id="rId13"/>
    <sheet name="Cash Flows" sheetId="14" r:id="rId14"/>
    <sheet name="Summary" sheetId="15" r:id="rId15"/>
    <sheet name="Ratio Analysis" sheetId="16" r:id="rId16"/>
    <sheet name="Standard Income Statement" sheetId="17" r:id="rId17"/>
    <sheet name="Charts" sheetId="18" r:id="rId18"/>
    <sheet name="Equity Beta" sheetId="19" r:id="rId19"/>
    <sheet name="Market Data" sheetId="20" r:id="rId20"/>
    <sheet name="Comps Data" sheetId="21" r:id="rId21"/>
    <sheet name="COMPS" sheetId="22" r:id="rId22"/>
    <sheet name="DCF Valuation" sheetId="23" r:id="rId23"/>
  </sheets>
  <definedNames>
    <definedName name="_xlnm._FilterDatabase" localSheetId="18" hidden="1">'Equity Beta'!$B$7:$F$391</definedName>
    <definedName name="_xlnm._FilterDatabase" localSheetId="19" hidden="1">'Market Data'!$B$7:$D$2620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H29" authorId="0">
      <text>
        <r>
          <rPr>
            <sz val="10"/>
            <rFont val="Arial"/>
            <charset val="134"/>
          </rPr>
          <t>Base case FY27 growth = average of last 5 audited years YoY growth (per Assumptions sheet methodology).</t>
        </r>
      </text>
    </comment>
    <comment ref="H35" authorId="0">
      <text>
        <r>
          <rPr>
            <sz val="10"/>
            <rFont val="Arial"/>
            <charset val="134"/>
          </rPr>
          <t>Base case FY27 growth = average of last 5 audited years YoY growth (per Assumptions sheet methodology).</t>
        </r>
      </text>
    </comment>
    <comment ref="H38" authorId="0">
      <text>
        <r>
          <rPr>
            <sz val="10"/>
            <rFont val="Arial"/>
            <charset val="134"/>
          </rPr>
          <t>Segment disposed, effective 26 June 2024; projected at nil for the forecast period.</t>
        </r>
      </text>
    </comment>
    <comment ref="H47" authorId="0">
      <text>
        <r>
          <rPr>
            <sz val="10"/>
            <rFont val="Arial"/>
            <charset val="134"/>
          </rPr>
          <t>Base case FY27 growth = average of last 5 audited years YoY growth (per Assumptions sheet methodology).</t>
        </r>
      </text>
    </comment>
    <comment ref="H53" authorId="0">
      <text>
        <r>
          <rPr>
            <sz val="10"/>
            <rFont val="Arial"/>
            <charset val="134"/>
          </rPr>
          <t>Historical YoY growth not meaningful: Indus Towers (Passive Infrastructure) was consolidated as a subsidiary effective 18-Nov-2024 (partial-year FY2025 to full-year FY2026), producing a one-off jump. Using a representative industry steady-state growth assumption of 8% p.a. as the base-case starting growth rate.</t>
        </r>
      </text>
    </comment>
    <comment ref="H59" authorId="0">
      <text>
        <r>
          <rPr>
            <sz val="10"/>
            <rFont val="Arial"/>
            <charset val="134"/>
          </rPr>
          <t>Base case FY27 growth = average of last 5 audited years YoY growth (per Assumptions sheet methodology).</t>
        </r>
      </text>
    </comment>
    <comment ref="H65" authorId="0">
      <text>
        <r>
          <rPr>
            <sz val="10"/>
            <rFont val="Arial"/>
            <charset val="134"/>
          </rPr>
          <t>Base case FY27 growth = average of last 5 audited years YoY growth (per Assumptions sheet methodology).</t>
        </r>
      </text>
    </comment>
    <comment ref="H71" authorId="0">
      <text>
        <r>
          <rPr>
            <sz val="10"/>
            <rFont val="Arial"/>
            <charset val="134"/>
          </rPr>
          <t>Immaterial catch-all segment (under 0.2% of revenue) that grew off a very small base historically, so the simple 5-yr average YoY growth (~89%) is not a meaningful run-rate and would compound to an implausible size over 10 years. Using a base-case growth assumption of 10% p.a., broadly in line with overall company growth, instead.</t>
        </r>
      </text>
    </comment>
    <comment ref="H75" authorId="0">
      <text>
        <r>
          <rPr>
            <sz val="10"/>
            <rFont val="Arial"/>
            <charset val="134"/>
          </rPr>
          <t>Projected using the 5-yr audited average elimination as a % of total segment revenue.</t>
        </r>
      </text>
    </comment>
  </commentList>
</comments>
</file>

<file path=xl/comments2.xml><?xml version="1.0" encoding="utf-8"?>
<comments xmlns="http://schemas.openxmlformats.org/spreadsheetml/2006/main">
  <authors>
    <author>Unknown Author</author>
  </authors>
  <commentList>
    <comment ref="G51" authorId="0">
      <text>
        <r>
          <rPr>
            <sz val="10"/>
            <rFont val="Arial"/>
            <charset val="134"/>
          </rPr>
          <t>Reconciliation adjustment: FY26 (G column) granular PP&amp;E additions were not populated in this sub-schedule, so FAS's own closing net block (row 140) understated the actual audited FY26 Balance Sheet PP&amp;E by INR 137,590mn (1,570,659 vs 1,433,069 per BS Input). Added here to Plant &amp; Equipment so the FY27+ forecast rolls forward from the correct base. Does not affect historical (audited) columns, which pull directly from BS Input.</t>
        </r>
      </text>
    </comment>
    <comment ref="B143" authorId="0">
      <text>
        <r>
          <rPr>
            <sz val="10"/>
            <rFont val="Arial"/>
            <charset val="134"/>
          </rPr>
          <t xml:space="preserve">;;-Detailed lease additions and depreciation schedules are not separately disclosed for forecasting purposes. Therefore, audited balances have been considered up to FY2025, and the FY2026 balance has been carried forward across the forecast period without making additional assumptions.
</t>
        </r>
      </text>
    </comment>
    <comment ref="B151" authorId="0">
      <text>
        <r>
          <rPr>
            <sz val="10"/>
            <rFont val="Arial"/>
            <charset val="134"/>
          </rPr>
          <t xml:space="preserve">;;-The Annual Report does not provide a complete reconciliation of Other Intangible Assets with the Balance Sheet. A reconciliation difference of ₹5,814 Mn (FY2024) and ₹133,810 Mn (FY2025) exists due to undisclosed movements/reclassifications. Hence, audited Balance Sheet closing balances have been used up to FY2026, and the FY2026 balance has been carried forward for the forecast period without making additional assumptions.
</t>
        </r>
      </text>
    </comment>
  </commentList>
</comments>
</file>

<file path=xl/comments3.xml><?xml version="1.0" encoding="utf-8"?>
<comments xmlns="http://schemas.openxmlformats.org/spreadsheetml/2006/main">
  <authors>
    <author>Unknown Author</author>
  </authors>
  <commentList>
    <comment ref="C36" authorId="0">
      <text>
        <r>
          <rPr>
            <sz val="10"/>
            <rFont val="Arial"/>
            <charset val="134"/>
          </rPr>
          <t>::-
The historical average Borrowings-to-Revenue ratio was not considered for forecasting, as it was significantly influenced by higher leverage levels in earlier years and resulted in an overstated borrowing forecast. Since the Company has demonstrated a consistent decline in leverage over the historical period, the latest audited ratio (FY2026) has been considered as the base assumption for the forecast period, with a gradual reduction in subsequent years to reflect the expected deleveraging trend.</t>
        </r>
      </text>
    </comment>
  </commentList>
</comments>
</file>

<file path=xl/comments4.xml><?xml version="1.0" encoding="utf-8"?>
<comments xmlns="http://schemas.openxmlformats.org/spreadsheetml/2006/main">
  <authors>
    <author>Unknown Author</author>
  </authors>
  <commentList>
    <comment ref="D7" authorId="0">
      <text>
        <r>
          <rPr>
            <sz val="10"/>
            <rFont val="Arial"/>
            <charset val="134"/>
          </rPr>
          <t>Fixed: Column D (Bharti Airtel Change %) formula was inverted relative to column F (Nifty 50 Change %) — D used C[row]/C[row-1]-1 (older/newer) while F used E[row-1]/E[row]-1 (newer/older). This sign mismatch was producing a negative Beta. D formulas corrected to match F convention: =C[row-1]/C[row]-1.</t>
        </r>
      </text>
    </comment>
  </commentList>
</comments>
</file>

<file path=xl/sharedStrings.xml><?xml version="1.0" encoding="utf-8"?>
<sst xmlns="http://schemas.openxmlformats.org/spreadsheetml/2006/main" count="1397" uniqueCount="522">
  <si>
    <t>📥 INPUTS</t>
  </si>
  <si>
    <t>Assumptions</t>
  </si>
  <si>
    <t>P&amp;L Input</t>
  </si>
  <si>
    <t>BS Input</t>
  </si>
  <si>
    <t>CF Input</t>
  </si>
  <si>
    <t>Market Data</t>
  </si>
  <si>
    <t>Equity Beta</t>
  </si>
  <si>
    <t>Comps Data</t>
  </si>
  <si>
    <t>📊Calculation &amp; Analysis</t>
  </si>
  <si>
    <t>Common Sizing</t>
  </si>
  <si>
    <t>Revenue Build-up</t>
  </si>
  <si>
    <t>Working Capital</t>
  </si>
  <si>
    <t>Income Statement</t>
  </si>
  <si>
    <t>Balance Sheet</t>
  </si>
  <si>
    <t>Cash Flows</t>
  </si>
  <si>
    <t>Standard Income Statement</t>
  </si>
  <si>
    <t>Ratio Analysis</t>
  </si>
  <si>
    <t>DCF Valuation</t>
  </si>
  <si>
    <t>COMPS</t>
  </si>
  <si>
    <t>Charts</t>
  </si>
  <si>
    <t>FAS</t>
  </si>
  <si>
    <t xml:space="preserve">Bharti Airtel Ltd.
</t>
  </si>
  <si>
    <t>Company Description</t>
  </si>
  <si>
    <t>ISIN Code</t>
  </si>
  <si>
    <t>INE397D01024</t>
  </si>
  <si>
    <t>Sector Name</t>
  </si>
  <si>
    <t>Telecommunication</t>
  </si>
  <si>
    <t>Industry</t>
  </si>
  <si>
    <t>Telecom Services</t>
  </si>
  <si>
    <t>Exchange Name</t>
  </si>
  <si>
    <t>BSE:532454     NSE:BHARTIARTL</t>
  </si>
  <si>
    <t>Website</t>
  </si>
  <si>
    <t>https://www.airtel.in</t>
  </si>
  <si>
    <t>Bharti Airtel Limited is one of India's leading telecommunications companies and a global provider of communication and digital services. Founded in 1995 and headquartered in Gurugram, Haryana, the company operates across India and 14 countries in Africa. Airtel offers a diversified portfolio including mobile services, broadband, digital TV, enterprise solutions, data centers, cloud services, and fintech through Airtel Payments Bank.
The company serves over 590 million customers globally and has established a strong market position through continuous investments in network infrastructure, spectrum assets, and digital technologies. Airtel's business model is supported by multiple revenue streams across consumer, enterprise, home broadband, and infrastructure services.
For FY2025–26, Bharti Airtel reported consolidated revenue of ₹2,109.7 billion and net profit of ₹338.2 billion, reflecting strong operational performance driven by customer additions, higher data consumption, premiumization, and expansion of digital services.</t>
  </si>
  <si>
    <t>Current Market Price</t>
  </si>
  <si>
    <t>Scenario</t>
  </si>
  <si>
    <t>Case</t>
  </si>
  <si>
    <t>Base case</t>
  </si>
  <si>
    <t>Company data</t>
  </si>
  <si>
    <t>Particulars</t>
  </si>
  <si>
    <t>Amount</t>
  </si>
  <si>
    <t>No of Outstanding shares</t>
  </si>
  <si>
    <t>Nos</t>
  </si>
  <si>
    <t>Face Value per share</t>
  </si>
  <si>
    <t>Rs.</t>
  </si>
  <si>
    <t>Market Capitalisation</t>
  </si>
  <si>
    <t>INR in Crs</t>
  </si>
  <si>
    <t>Perpetual Growth rate</t>
  </si>
  <si>
    <t>%</t>
  </si>
  <si>
    <t>10 year Bond yield rate</t>
  </si>
  <si>
    <t>Interest rate</t>
  </si>
  <si>
    <t>(INR in millions)</t>
  </si>
  <si>
    <t>Company Revenue by Geography</t>
  </si>
  <si>
    <t>Year</t>
  </si>
  <si>
    <t>India</t>
  </si>
  <si>
    <t>Africa</t>
  </si>
  <si>
    <t>South Asia</t>
  </si>
  <si>
    <t>Others</t>
  </si>
  <si>
    <t>Headings</t>
  </si>
  <si>
    <t>Reference</t>
  </si>
  <si>
    <t>Revenue  Buildup</t>
  </si>
  <si>
    <t>H29:Q29</t>
  </si>
  <si>
    <t>Revenue Forecasting Assumptions
• Mobile Services India: Forecast based on the 5-year historical average growth with gradual annual tapering.
• Mobile Services Africa: Forecast based on historical average growth with gradual tapering.
• Airtel Business: Forecast based on historical average growth and gradual moderation.
• Passive Infrastructure Services: Forecast based on historical average growth with gradual tapering.
• Homes Services: Forecast based on historical average growth and gradual tapering.
• Other Operating Revenue: Forecast based on historical average/median growth.
• Exceptional Items: Forecast based on historical average progression. No abnormal future gains assumed.
• Discontinued revenue segments have not been projected beyond the historical period.</t>
  </si>
  <si>
    <t>H18:Q18              G12:Q12</t>
  </si>
  <si>
    <t>Other Income and Exceptional Items for the forecast period 2027–2036 are projected as a constant percentage of total revenue, calculated based on the 5-year average audited for Other Income and the 3-year average audited for Exceptional Items.</t>
  </si>
  <si>
    <t>Cost Buildup</t>
  </si>
  <si>
    <t>H22:Q22         H28:Q28</t>
  </si>
  <si>
    <t>Employee Benefit Expenses and Other Expenses for the forecast period 2027–2036 are projected as a constant percentage of total revenue, based on the 5-year audited average.</t>
  </si>
  <si>
    <t>H31:Q31</t>
  </si>
  <si>
    <t>Finance Costs are estimated using a fixed borrowing rate, derived from the five-year average of interest expenses relative to total debt, and applied consistently throughout the projected period.</t>
  </si>
  <si>
    <t>H34:Q34</t>
  </si>
  <si>
    <t>Tax rate is derived from the latest audited figures, starting at 25% in FY2026 after a 0.5% uplift. It is expected to rise by 1% every two years over the forecast period.</t>
  </si>
  <si>
    <t>H173:Q173</t>
  </si>
  <si>
    <t>Since FY2026 audited financial data is not available, FY2025 figures have been used as the base for forecasting the additions, disposals and depreciation of Property, Plant &amp; Equipment (PPE), Intangible Assets and ROU Assets. A conservative growth rate of 4% has been assumed for the first projected year and every 3 years thereafter.</t>
  </si>
  <si>
    <t>Capital WIP is forecasted at same absolute growth and increased by 4% for every 3 years.</t>
  </si>
  <si>
    <t>BS Items</t>
  </si>
  <si>
    <t>H12:Q12              H61:Q61</t>
  </si>
  <si>
    <t>Balance sheet items are projected  as % on Revenue using the latest previous year's % as base otherwise as mentioned and Borrowings are adjusted (assumed to be taken/repaid) based on availability of Cash &amp; Cash equivalents</t>
  </si>
  <si>
    <t>H11:Q11            H12:Q12</t>
  </si>
  <si>
    <t>Trade Receivables and Trade Payables are projected as a fixed percentage of revenue, based on the average proportions observed over the last five audited years.</t>
  </si>
  <si>
    <t>H48:Q48</t>
  </si>
  <si>
    <t>Total dividend payments have been projected by assuming a constant dividend payout ratio of 21%, based on the latest historical payout trend. The payout ratio has been maintained throughout the forecast period (FY2027–FY2036).</t>
  </si>
  <si>
    <t>H35:Q35</t>
  </si>
  <si>
    <t>Cash and Cash equivalents are taken as the Balancing Figure</t>
  </si>
  <si>
    <t>Bharti Airtel Ltd</t>
  </si>
  <si>
    <t>Audited</t>
  </si>
  <si>
    <t>Revenue from Sale of Service</t>
  </si>
  <si>
    <t>Other Operating Revenue</t>
  </si>
  <si>
    <t>Total Income</t>
  </si>
  <si>
    <t>Expenses</t>
  </si>
  <si>
    <t>Network operating expenses</t>
  </si>
  <si>
    <t>Access charges</t>
  </si>
  <si>
    <t>License fee / Spectrum charges</t>
  </si>
  <si>
    <t>Employee benefits expense</t>
  </si>
  <si>
    <t>Sales and marketing expenses</t>
  </si>
  <si>
    <t>Other expenses</t>
  </si>
  <si>
    <t>Total Expenses</t>
  </si>
  <si>
    <t>EBITDA</t>
  </si>
  <si>
    <t>Depreciation &amp; Amortisation</t>
  </si>
  <si>
    <t>EBIT</t>
  </si>
  <si>
    <t>Finance Costs</t>
  </si>
  <si>
    <t>Share of Profit/(Loss) of Associates</t>
  </si>
  <si>
    <t>Profit before exceptional items</t>
  </si>
  <si>
    <t>Exceptional items</t>
  </si>
  <si>
    <t>Profit before Tax</t>
  </si>
  <si>
    <t>Taxes</t>
  </si>
  <si>
    <t>Net Profit</t>
  </si>
  <si>
    <t>KPIs</t>
  </si>
  <si>
    <t>Revenue % (y-o-y)</t>
  </si>
  <si>
    <t>-</t>
  </si>
  <si>
    <t>EBITDA%</t>
  </si>
  <si>
    <t>EBIT %</t>
  </si>
  <si>
    <t>NP %</t>
  </si>
  <si>
    <t>ROA</t>
  </si>
  <si>
    <t>Asset Turnover</t>
  </si>
  <si>
    <t>Assets / Equity</t>
  </si>
  <si>
    <t>ROE</t>
  </si>
  <si>
    <t>Blue- Hard Coded, Black- Calculation &amp; Green- Linkages</t>
  </si>
  <si>
    <t>ASSETS</t>
  </si>
  <si>
    <t>Non-current assets</t>
  </si>
  <si>
    <t>Property, Plant &amp; Equipment</t>
  </si>
  <si>
    <t>Capital Work-in-Progress</t>
  </si>
  <si>
    <t>Right-of-use Assets</t>
  </si>
  <si>
    <t>Goodwill</t>
  </si>
  <si>
    <t>Other Intangible Assets</t>
  </si>
  <si>
    <t>Intangible Assets Under Development</t>
  </si>
  <si>
    <t>Investment in Joint Ventures &amp; Associates</t>
  </si>
  <si>
    <t>Financial Assets</t>
  </si>
  <si>
    <t>Investments</t>
  </si>
  <si>
    <t>Derivative instruments</t>
  </si>
  <si>
    <t>Trade Receivables</t>
  </si>
  <si>
    <t>Loans</t>
  </si>
  <si>
    <t>–</t>
  </si>
  <si>
    <t>Other Financial Assets</t>
  </si>
  <si>
    <t>Income Tax Assets (Net)</t>
  </si>
  <si>
    <t>Deferred Tax Assets (Net)</t>
  </si>
  <si>
    <t>Other Non-current Assets</t>
  </si>
  <si>
    <t>Total Non-current Assets</t>
  </si>
  <si>
    <t>Current Assets</t>
  </si>
  <si>
    <t>Inventories</t>
  </si>
  <si>
    <t>Derivative Instruments</t>
  </si>
  <si>
    <t>Cash &amp; Cash Equivalents</t>
  </si>
  <si>
    <t>Other Bank Balances</t>
  </si>
  <si>
    <t>Other Current Assets</t>
  </si>
  <si>
    <t>Assets Held for Sale</t>
  </si>
  <si>
    <t>Total Current Assets</t>
  </si>
  <si>
    <t>TOTAL ASSETS</t>
  </si>
  <si>
    <t>EQUITY &amp; LIABILITIES</t>
  </si>
  <si>
    <t>Share Capital</t>
  </si>
  <si>
    <t>Other Equity</t>
  </si>
  <si>
    <t>Equity attributable to Owners</t>
  </si>
  <si>
    <t>Non-controlling Interests</t>
  </si>
  <si>
    <t>Total Equity</t>
  </si>
  <si>
    <t>Non-current liabilities</t>
  </si>
  <si>
    <t>Financial liabilities</t>
  </si>
  <si>
    <t>• Borrowings</t>
  </si>
  <si>
    <t>• Lease liabilities</t>
  </si>
  <si>
    <t>• Derivative instruments</t>
  </si>
  <si>
    <t>• Other financial liabilities</t>
  </si>
  <si>
    <t>Deferred revenue</t>
  </si>
  <si>
    <t>Provisions</t>
  </si>
  <si>
    <t>Deferred tax liabilities (net)</t>
  </si>
  <si>
    <t>Other non-current liabilities</t>
  </si>
  <si>
    <t>Total non-current liabilities</t>
  </si>
  <si>
    <t>Current liabilities</t>
  </si>
  <si>
    <t>• Trade payables</t>
  </si>
  <si>
    <t>Current tax liabilities (net)</t>
  </si>
  <si>
    <t>Other current liabilities</t>
  </si>
  <si>
    <t>Total current liabilities</t>
  </si>
  <si>
    <t>Total liabilities</t>
  </si>
  <si>
    <t>Total equity and liabilities</t>
  </si>
  <si>
    <t>CHECK</t>
  </si>
  <si>
    <t>Liquidity ratios</t>
  </si>
  <si>
    <t>Current ratio</t>
  </si>
  <si>
    <t>Quick ratio</t>
  </si>
  <si>
    <t>Cash ratio</t>
  </si>
  <si>
    <t>Solvency ratios</t>
  </si>
  <si>
    <t>Debt ratio</t>
  </si>
  <si>
    <t>Debt-Equity ratio</t>
  </si>
  <si>
    <t>Interest coverage ratio</t>
  </si>
  <si>
    <t>Debt-service coverage ratio</t>
  </si>
  <si>
    <t>Cash Flows from Operating Activities</t>
  </si>
  <si>
    <t>FY2022</t>
  </si>
  <si>
    <t>FY2023</t>
  </si>
  <si>
    <t>FY2024</t>
  </si>
  <si>
    <t>FY2025</t>
  </si>
  <si>
    <t>FY2026</t>
  </si>
  <si>
    <t>Profit before tax</t>
  </si>
  <si>
    <t>Adjustments for:</t>
  </si>
  <si>
    <t>Depreciation and amortisation expenses</t>
  </si>
  <si>
    <t>Finance costs</t>
  </si>
  <si>
    <t>Net gain on FVTPL instruments</t>
  </si>
  <si>
    <t>Dividend income</t>
  </si>
  <si>
    <t>Interest income</t>
  </si>
  <si>
    <t>Net (gain)/loss on derivative financial instruments</t>
  </si>
  <si>
    <t>Share of profit of associates and JVs (net)</t>
  </si>
  <si>
    <t>Exceptional items (net)</t>
  </si>
  <si>
    <t>Employee share based payment expense</t>
  </si>
  <si>
    <t>(Profit)/Loss on sale of PP&amp;E</t>
  </si>
  <si>
    <t>Provision for doubtful debts / bad debts written off</t>
  </si>
  <si>
    <t>Other non-cash items</t>
  </si>
  <si>
    <t>Operating cash flows before changes in assets/liabilities</t>
  </si>
  <si>
    <t>Changes in assets and liabilities</t>
  </si>
  <si>
    <t>Trade receivables</t>
  </si>
  <si>
    <t>Trade payables</t>
  </si>
  <si>
    <t>Other financial and non-financial liabilities</t>
  </si>
  <si>
    <t>Other financial and non-financial assets</t>
  </si>
  <si>
    <t>Net cash generated from operations before tax</t>
  </si>
  <si>
    <t>Income tax paid (net)</t>
  </si>
  <si>
    <t>Net cash generated from operating activities (a)</t>
  </si>
  <si>
    <t>Cash Flows from Investing Activities</t>
  </si>
  <si>
    <t>Purchase of PP&amp;E and capital WIP</t>
  </si>
  <si>
    <t>Proceeds from sale of PP&amp;E</t>
  </si>
  <si>
    <t>Purchase of intangible assets</t>
  </si>
  <si>
    <t>Payment towards spectrum*</t>
  </si>
  <si>
    <t>Proceeds from sale of spectrum</t>
  </si>
  <si>
    <t>Proceeds from sale of business</t>
  </si>
  <si>
    <t>(Purchase)/proceeds sale of current investments (net)</t>
  </si>
  <si>
    <t>Proceeds from sale of non-current investments</t>
  </si>
  <si>
    <t>Purchase of non-current investments</t>
  </si>
  <si>
    <t>Proceeds from sale of tower subsidiary (net)</t>
  </si>
  <si>
    <t>Investment in JV / associates</t>
  </si>
  <si>
    <t>Repayment of loan given to JV</t>
  </si>
  <si>
    <t>Acquisition of subsidiary, net of cash</t>
  </si>
  <si>
    <t>Cash disposed off on sale of subsidiaries</t>
  </si>
  <si>
    <t>Cash acquired on acquisition of subsidiary</t>
  </si>
  <si>
    <t>Proceeds from sale of investment in JV</t>
  </si>
  <si>
    <t>Dividend received</t>
  </si>
  <si>
    <t>Interest received</t>
  </si>
  <si>
    <t>Net cash used in investing activities (b)</t>
  </si>
  <si>
    <t>Cash Flows from Financing Activities</t>
  </si>
  <si>
    <t>Net proceeds from issue of shares</t>
  </si>
  <si>
    <t>Proceeds from borrowings</t>
  </si>
  <si>
    <t>Repayment of borrowings</t>
  </si>
  <si>
    <t>Payment of lease liabilities</t>
  </si>
  <si>
    <t>(Repayment of)/proceeds from short-term borrowings (net)</t>
  </si>
  <si>
    <t>Purchase of treasury shares</t>
  </si>
  <si>
    <t>Interest and other finance charges paid</t>
  </si>
  <si>
    <t>Proceeds from exercise of share options</t>
  </si>
  <si>
    <t>Dividend paid</t>
  </si>
  <si>
    <t>Proceeds from issuance of compulsorily convertible preference shares</t>
  </si>
  <si>
    <t>Net proceeds from issuance of equity shares to NCI</t>
  </si>
  <si>
    <t>Redemption of perpetual bonds</t>
  </si>
  <si>
    <t>Buyback of perpetual bonds from NCI</t>
  </si>
  <si>
    <t>Purchase of shares from NCI</t>
  </si>
  <si>
    <t>Payment/(proceeds) on maturity of derivatives (net)</t>
  </si>
  <si>
    <t>Proceeds from sale of shares of subsidiary to NCI</t>
  </si>
  <si>
    <t>Net cash used in financing activities (c)</t>
  </si>
  <si>
    <t>Net Increase / (Decrease) in Cash and Cash equivalents (A+B+C)</t>
  </si>
  <si>
    <t>Effect of exchange rate on cash &amp; cash equivalents</t>
  </si>
  <si>
    <t>Cash &amp; Cash Equivalents at Beginning of the Year</t>
  </si>
  <si>
    <t>Closing Cash Balance</t>
  </si>
  <si>
    <t xml:space="preserve">Bharti Airtel Ltd
</t>
  </si>
  <si>
    <t>Revenue Buildup</t>
  </si>
  <si>
    <t>Estimated</t>
  </si>
  <si>
    <t>Projected</t>
  </si>
  <si>
    <t>Sale of Service</t>
  </si>
  <si>
    <t>Other Operating Revenues</t>
  </si>
  <si>
    <t>(% on total Revenue)</t>
  </si>
  <si>
    <t>Revenue from Operations</t>
  </si>
  <si>
    <t>Y-O-Y Growth</t>
  </si>
  <si>
    <t>Revenue by Service Line</t>
  </si>
  <si>
    <t>Mobile Services India</t>
  </si>
  <si>
    <t>Mobile Services Africa</t>
  </si>
  <si>
    <t>Mobile Services South Asia</t>
  </si>
  <si>
    <t>Airtel Business</t>
  </si>
  <si>
    <t>Passive Infrastructure Services</t>
  </si>
  <si>
    <t>Homes Services</t>
  </si>
  <si>
    <t>Digital TV Services</t>
  </si>
  <si>
    <t>Total segment revenue</t>
  </si>
  <si>
    <t>Less: Inter-segment eliminations</t>
  </si>
  <si>
    <t>Total revenue</t>
  </si>
  <si>
    <t>Cost Build-up</t>
  </si>
  <si>
    <t>Effective Tax rate</t>
  </si>
  <si>
    <t>Fixed Assets Schedule</t>
  </si>
  <si>
    <t>PPE Assets</t>
  </si>
  <si>
    <t>Leasehold Improvements</t>
  </si>
  <si>
    <t>Opening Gross Block</t>
  </si>
  <si>
    <t>Additions</t>
  </si>
  <si>
    <t>Disposals / Adjustments</t>
  </si>
  <si>
    <t>Exchange Differences</t>
  </si>
  <si>
    <t>Closing Gross Block</t>
  </si>
  <si>
    <t>Opening Accumulated Depreciation</t>
  </si>
  <si>
    <t>Depreciation</t>
  </si>
  <si>
    <t>Closing Accumulated Depreciation</t>
  </si>
  <si>
    <t>Net Block</t>
  </si>
  <si>
    <t>Buildings</t>
  </si>
  <si>
    <t>Land</t>
  </si>
  <si>
    <t>Plant &amp; Equipment</t>
  </si>
  <si>
    <t>Furniture &amp; Fixtures</t>
  </si>
  <si>
    <t>+/- Exchange Differences</t>
  </si>
  <si>
    <t>Vehicles</t>
  </si>
  <si>
    <t>Office Equipment</t>
  </si>
  <si>
    <t>Computer &amp; Servers</t>
  </si>
  <si>
    <t>Aircraft</t>
  </si>
  <si>
    <t>Total PPE - Net block</t>
  </si>
  <si>
    <t>Opening Balance</t>
  </si>
  <si>
    <t>New Leases</t>
  </si>
  <si>
    <t>Closing Balance</t>
  </si>
  <si>
    <t>Total ROU Assets</t>
  </si>
  <si>
    <t>Intangible Assets</t>
  </si>
  <si>
    <t>Spectrum/Software Additions</t>
  </si>
  <si>
    <t>Amortisation</t>
  </si>
  <si>
    <t>Total Intangible Assets</t>
  </si>
  <si>
    <t>Capitalised</t>
  </si>
  <si>
    <t>Total Intangible Assets Under Development</t>
  </si>
  <si>
    <t>Total Fixed Assets - Net Block</t>
  </si>
  <si>
    <t>Depreciation for year</t>
  </si>
  <si>
    <t>Increase in Fixed Assets</t>
  </si>
  <si>
    <t>Capital WIP</t>
  </si>
  <si>
    <t>Increase in Capital WIP</t>
  </si>
  <si>
    <t>Total Capex</t>
  </si>
  <si>
    <t>Balance Sheet Items</t>
  </si>
  <si>
    <t>Non-Current Assets</t>
  </si>
  <si>
    <t>Other financial assets</t>
  </si>
  <si>
    <t>Income tax assets (net)</t>
  </si>
  <si>
    <t>Deferred Tax Assets(net)</t>
  </si>
  <si>
    <t>Other non-current assets</t>
  </si>
  <si>
    <t>Other current assets</t>
  </si>
  <si>
    <t>LIABILITIES</t>
  </si>
  <si>
    <t>Borrowings</t>
  </si>
  <si>
    <t>Lease liabilities</t>
  </si>
  <si>
    <t>Other Financial liabilities</t>
  </si>
  <si>
    <t>Deferred Tax Liability(net)</t>
  </si>
  <si>
    <t>Current Liabilities</t>
  </si>
  <si>
    <t>Other financial liabilities</t>
  </si>
  <si>
    <t>Current Tax Liabilities(net)</t>
  </si>
  <si>
    <t>2021-22</t>
  </si>
  <si>
    <t>2022-23</t>
  </si>
  <si>
    <t>2023-24</t>
  </si>
  <si>
    <t>2024-25</t>
  </si>
  <si>
    <t>2025-26</t>
  </si>
  <si>
    <t>2026-27</t>
  </si>
  <si>
    <t>2027-28</t>
  </si>
  <si>
    <t>2028-29</t>
  </si>
  <si>
    <t>2029-30</t>
  </si>
  <si>
    <t>2030-31</t>
  </si>
  <si>
    <t>2031-32</t>
  </si>
  <si>
    <t>2032-33</t>
  </si>
  <si>
    <t>2033-34</t>
  </si>
  <si>
    <t>2034-35</t>
  </si>
  <si>
    <t>2035-36</t>
  </si>
  <si>
    <t>Trade Payables</t>
  </si>
  <si>
    <t>Net Working Capital</t>
  </si>
  <si>
    <t>Basic EPS</t>
  </si>
  <si>
    <t>Total Dividend Payout</t>
  </si>
  <si>
    <t>(as % on Net Profit)</t>
  </si>
  <si>
    <t>Check</t>
  </si>
  <si>
    <t>0</t>
  </si>
  <si>
    <t>Balancing Adjustment (Plug to reconcile BS)</t>
  </si>
  <si>
    <t>Valuation Summary - Football Field</t>
  </si>
  <si>
    <t>Market</t>
  </si>
  <si>
    <t>Comps</t>
  </si>
  <si>
    <t>DCF</t>
  </si>
  <si>
    <t>52-week hi/lo</t>
  </si>
  <si>
    <t>Consensus</t>
  </si>
  <si>
    <t>High</t>
  </si>
  <si>
    <t>Low</t>
  </si>
  <si>
    <t>Range (High - Low)</t>
  </si>
  <si>
    <t>Valuation Summary</t>
  </si>
  <si>
    <t>Broker Analysis</t>
  </si>
  <si>
    <t>Date</t>
  </si>
  <si>
    <t>LTP</t>
  </si>
  <si>
    <t>Target Price</t>
  </si>
  <si>
    <t>ICICI Direct Research</t>
  </si>
  <si>
    <t>Axis Securities</t>
  </si>
  <si>
    <t>Geojit BNP Paribas</t>
  </si>
  <si>
    <t>Motilal Oswal</t>
  </si>
  <si>
    <t>Interpretation of ratios</t>
  </si>
  <si>
    <t>Trend</t>
  </si>
  <si>
    <t>Profitability Ratios</t>
  </si>
  <si>
    <t>EBITDA Margin</t>
  </si>
  <si>
    <t>Airtel's EBITDA margin increased consistently from 49.60% in FY22 to 57.30% in FY26, indicating a significant improvement in operating profitability. This expansion was primarily driven by sustained tariff hikes, growth in high-value 4G/5G subscribers, increasing Average Revenue Per User (ARPU), and operating leverage, which enabled revenue to grow faster than operating expenses. The improvement also reflects better cost efficiency and the company's ability to generate higher operating earnings from its telecom operations. From FY27 onwards, the margin is conservatively projected at 53.07%, assuming the benefits of recent margin expansion gradually normalize as the business enters a mature growth phase. Although the forecast does not assume further margin expansion, maintaining a margin above 53% demonstrates Airtel's strong operating efficiency and supports stable cash flow generation and long-term profitability.</t>
  </si>
  <si>
    <t>Operating Margin</t>
  </si>
  <si>
    <t>Airtel's Operating Margin improved significantly from 21.33% in FY22 to 32.64% in FY26, reflecting a substantial enhancement in operating profitability. The improvement was primarily driven by strong EBITDA growth, higher ARPU, tariff revisions, subscriber premiumisation, and improved cost efficiencies, while depreciation grew at a slower pace relative to revenue. Although the margin is projected to decline marginally to 31.92% in FY27, it is expected to recover steadily and reach 40.87% by FY36, indicating continued operational efficiency as the company's network investments mature and incremental revenue contributes more directly to operating profit. This trend suggests Airtel is well-positioned to strengthen its earnings quality and generate higher operating cash flows over the long term, provided future capital expenditure and depreciation assumptions remain consistent with the projected business expansion.</t>
  </si>
  <si>
    <t>Pretax Margin</t>
  </si>
  <si>
    <t>Airtel's Pre-tax Margin increased from 10.66% in FY22 to 11.82% in FY23, before declining to 8.37% in FY24, indicating temporary pressure on profitability before tax. The margin recovered sharply to 22.00% in FY25 and remained strong at an estimated 21.13% in FY26, reflecting improved operating performance and better earnings generation. From FY27 onwards, the margin is projected to increase gradually, reaching 28.68% by FY36, supported by sustained revenue growth, improving operating margins, and the gradual dilution of finance costs relative to the expanding revenue base. This upward trend indicates stronger profitability before taxation and enhances the company's capacity to generate higher earnings, strengthen cash flows, and support long-term shareholder value, provided the projected operating performance and financing assumptions are achieved.</t>
  </si>
  <si>
    <t>Airtel's Effective Tax Rate remained volatile during the historical period, moving from 33.47% in FY22 to 25.80% in FY23, increasing to 32.50% in FY24, and declining sharply to 2.39% in FY25. The estimated tax rate normalises to 25.13% in FY26 and is projected to increase gradually to 27.63% by FY36, reflecting a stable long-term tax assumption. The normalization of the effective tax rate indicates that future profitability is expected to be supported by a consistent tax structure rather than exceptional tax adjustments. A stable effective tax rate improves the reliability of earnings forecasts, enhances the quality of projected net profits, and provides greater confidence in the company's long-term valuation and financial planning.</t>
  </si>
  <si>
    <t>Net Margin</t>
  </si>
  <si>
    <t>Airtel's Net Margin increased from 7.09% in FY22 to 8.84% in FY23, declined to 5.65% in FY24, and improved sharply to 21.47% in FY25, before moderating to an estimated 15.82% in FY26. The projected decline after FY25 reflects the normalization of profitability assumptions, following which the margin is expected to improve steadily from 14.77% in FY27 to 20.76% by FY36. This long-term expansion is supported by sustained revenue growth, improving operating margins, better cost efficiency, and stable tax assumptions. A consistently improving net margin indicates stronger earnings generation, enhanced shareholder returns, and greater financial resilience, strengthening Airtel's ability to fund future investments while creating long-term value for shareholders.</t>
  </si>
  <si>
    <t>DuPont/Earning Power</t>
  </si>
  <si>
    <t>Airtel's Asset Turnover Ratio improved from 0.35x in FY23 to 0.41x in FY26, indicating a steady improvement in the company's ability to generate revenue from its asset base. This increase was primarily driven by sustained revenue growth, subscriber expansion, higher ARPU, and better monetization of existing network infrastructure, resulting in more efficient utilization of assets. From FY27 onwards, the ratio is projected to gradually decline to 0.33x by FY36, reflecting continued investments in network expansion and capital-intensive infrastructure, which are expected to increase the asset base faster than revenue growth. Despite this gradual moderation, the ratio remains at a healthy level, demonstrating Airtel's ability to efficiently utilize its assets while supporting long-term growth, operational efficiency, and sustainable revenue generation.</t>
  </si>
  <si>
    <t>Pre tax ROA</t>
  </si>
  <si>
    <t>Airtel's Pre-tax Return on Assets (ROA) improved from 3.10% in FY23 to 7.30% in FY26, indicating a significant enhancement in the company's ability to generate pre-tax earnings from its asset base. This improvement was primarily driven by stronger operating profitability, higher revenue growth, and more efficient utilization of assets. From FY27 onwards, the ratio is projected to increase gradually to 9.00% by FY36, reflecting sustained improvements in operating performance and efficient deployment of capital. The rising Pre-tax ROA indicates that Airtel is expected to generate higher earnings from each unit of assets invested, demonstrating improved operational efficiency, stronger profitability, and effective capital allocation, which supports long-term value creation for shareholders.</t>
  </si>
  <si>
    <t>Pre Tax ROE</t>
  </si>
  <si>
    <t>Airtel's Pre-tax Return on Equity (ROE) improved from 12.60% in FY23 to 22.00% in FY26, reflecting a significant improvement in the company's ability to generate pre-tax earnings from shareholders' equity. This increase was primarily driven by higher operating profitability, stronger pre-tax margins, and improved returns on the capital invested by shareholders. From FY27 onwards, the ratio is projected to remain broadly stable in the range of 20–23% before gradually moderating to 20.80% by FY36, indicating that the company is expected to maintain healthy profitability while supporting future business expansion through a balanced capital structure. A consistently strong Pre-tax ROE demonstrates efficient utilization of shareholders' funds, sustainable earnings generation, and the company's ability to create long-term value for investors.</t>
  </si>
  <si>
    <t>Tax Complement</t>
  </si>
  <si>
    <t>Airtel's Return on Equity (ROE) improved from 8.40% in FY23 to 21.50% in FY26, reflecting a significant improvement in the company's ability to generate net earnings from shareholders' equity. The increase was supported by stronger operating profitability, higher net margins, and efficient utilization of shareholders' funds. From FY27 onwards, ROE is projected to remain relatively stable in the range of 15–17%, before gradually moderating to 15.10% by FY36. Despite the slight decline in the later years, the ratio continues to indicate healthy profitability and efficient capital management, demonstrating Airtel's ability to generate sustainable returns for shareholders while maintaining a balanced capital structure and supporting long-term business growth.</t>
  </si>
  <si>
    <t>Equity Retention</t>
  </si>
  <si>
    <t>Airtel's Equity Retention Ratio fluctuated during the historical period, increasing from 37.71% in FY22 to 52.18% in FY23, declining sharply to 6.68% in FY24, and then rising significantly to 81.07% in FY25. The ratio is estimated at 79.02% in FY26 and is projected to remain stable at this level throughout the forecast period until FY36. A consistently high retention ratio indicates that the company is expected to reinvest a substantial portion of its earnings back into the business rather than distributing them as dividends. This strategy supports future capital expenditure, network expansion, technological upgrades, and long-term business growth while strengthening the company's internal financing capacity and reducing dependence on external sources of funding.</t>
  </si>
  <si>
    <t>Reinvestment Rate</t>
  </si>
  <si>
    <t>Airtel's Reinvestment Rate improved from 4.40% in FY23 to 17.00% in FY26, reflecting the company's increasing ability to reinvest earnings into future growth opportunities. This improvement was supported by higher profitability, stronger earnings retention, and continued investment in network infrastructure and business expansion. From FY27 onwards, the reinvestment rate is projected to remain relatively stable in the range of 12–14% before gradually moderating to 11.90% by FY36. The stable reinvestment profile indicates that Airtel is expected to maintain a balanced approach between funding future growth initiatives and generating returns for shareholders. This supports sustainable long-term growth while preserving financial flexibility and efficient capital allocation.</t>
  </si>
  <si>
    <t>Liquidity Ratio</t>
  </si>
  <si>
    <t>Airtel's Current Ratio remained below 1.00x throughout the historical and projected period, moving from 0.46x in FY22 to 0.52x in FY26, before fluctuating between 0.41x and 0.65x during the forecast period. A current ratio below 1.00x indicates that current liabilities exceed current assets; however, this is common for large telecom companies due to their capital-intensive business model, recurring cash inflows from subscribers, and efficient working capital management. The gradual improvement in the ratio during the initial forecast years reflects strengthening short-term liquidity, while the moderate decline in the later years suggests continued investment in business expansion and working capital requirements. Overall, the ratio indicates that Airtel is expected to maintain adequate liquidity to meet its short-term obligations through stable operating cash flows rather than relying solely on current assets.</t>
  </si>
  <si>
    <t>Airtel's Quick Ratio remained below 1.00x throughout the historical and forecast period, ranging from 0.45x in FY22 to 0.51x in FY26, and fluctuating between 0.41x and 0.65x during the projection period. This indicates that the company's liquid assets alone are lower than its current liabilities; however, such a trend is typical for telecom companies due to their capital-intensive operations and predictable recurring cash inflows from subscribers. The gradual improvement in the ratio during the initial forecast years reflects stronger short-term liquidity and efficient working capital management, while the slight moderation in the later years suggests continued investment in business expansion. Overall, the ratio indicates that Airtel is expected to maintain sufficient liquidity through stable operating cash flows and effective cash management, enabling it to meet its short-term obligations without significant liquidity concerns.</t>
  </si>
  <si>
    <t>Cash Ratio</t>
  </si>
  <si>
    <t>Airtel's Cash Ratio remained relatively low throughout the historical and projected period, moving from 0.12x in FY22 to 0.17x in FY26, before fluctuating between 0.09x and 0.34x during the forecast period. The ratio indicates that the company maintains a limited level of cash and cash equivalents relative to its current liabilities, which is common for large telecom operators that generate stable and recurring operating cash flows. The gradual improvement in the ratio during the initial forecast years reflects stronger cash generation and prudent liquidity management, while the moderation in the later years suggests continued deployment of cash towards capital expenditure, debt servicing, and business expansion. Overall, the cash ratio demonstrates Airtel's ability to efficiently manage liquidity while relying on consistent operating cash inflows to meet its short-term financial obligations, rather than holding excessive idle cash balances.</t>
  </si>
  <si>
    <t>Leverage</t>
  </si>
  <si>
    <t>Asset/Equity</t>
  </si>
  <si>
    <t>Airtel's Asset/Equity Ratio declined steadily from 4.50x in FY23 to 3.16x in FY26, indicating a gradual reduction in financial leverage and a strengthening of the company's capital structure. The ratio is further projected to decrease consistently to 2.40x by FY36, reflecting that shareholders' equity is expected to grow at a faster pace relative to total assets. This declining trend suggests reduced dependence on leverage to finance business operations and a more balanced mix of debt and equity over the forecast period. A lower Asset/Equity ratio enhances the company's financial stability, improves its ability to withstand market uncertainties, and strengthens its long-term credit profile while supporting sustainable business growth.</t>
  </si>
  <si>
    <t>Debt/Equity</t>
  </si>
  <si>
    <t>Airtel's Debt/Equity Ratio declined significantly from 1.85x in FY22 to 1.00x in FY26, indicating a substantial improvement in the company's capital structure and a gradual reduction in financial leverage. The ratio is projected to decrease further from 1.14x in FY27 to 0.73x by FY36, reflecting continued debt reduction, growth in shareholders' equity through retained earnings, and disciplined capital management. This declining trend suggests that the company is becoming less dependent on borrowed funds to finance its operations, thereby reducing financial risk and interest obligations. A lower Debt/Equity ratio strengthens Airtel's financial flexibility, enhances its borrowing capacity for future strategic investments, and improves long-term financial stability while creating greater confidence among investors and lenders.</t>
  </si>
  <si>
    <t>% LT Debt to Total Capital</t>
  </si>
  <si>
    <t>Airtel's Long-term Debt to Total Capital Ratio declined steadily from 60.80% in FY22 to 45.65% in FY26, indicating a gradual reduction in the proportion of long-term debt within the company's capital structure. The ratio is projected to decrease further from 47.30% in FY27 to 36.70% by FY36, reflecting continued deleveraging, stronger equity accumulation through retained earnings, and prudent long-term financing decisions. This downward trend suggests that Airtel is becoming less reliant on long-term borrowings while maintaining a more balanced capital structure. A lower proportion of long-term debt reduces financial risk, lowers financing costs, strengthens credit quality, and enhances the company's financial flexibility to support future investments and sustainable long-term growth.</t>
  </si>
  <si>
    <t>Operating</t>
  </si>
  <si>
    <t>A/R Turnover</t>
  </si>
  <si>
    <t>Airtel's Accounts Receivable Turnover Ratio remained strong throughout the historical and projected period, moving from 34.86x in FY23 to 30.19x in FY27, and gradually moderating to 29.30x by FY36. The consistently high turnover ratio indicates that the company is highly efficient in collecting receivables and converting credit sales into cash within a short period. The slight decline during the forecast period suggests a marginal increase in the receivables cycle as the business expands; however, the ratio remains at a healthy level and reflects effective credit management practices. Efficient receivables management supports stronger operating cash flows, reduces the risk of bad debts, improves working capital efficiency, and enhances the company's overall liquidity position.</t>
  </si>
  <si>
    <t>A/P Turnover</t>
  </si>
  <si>
    <t>Airtel's Accounts Payable Turnover Ratio remained relatively stable throughout the historical and projected period, ranging from 2.18x in FY23 to 2.31x in FY27, before gradually moderating to 2.09x by FY36. The consistently stable turnover ratio indicates that the company follows a disciplined and predictable payment cycle with its suppliers while effectively managing its short-term obligations. The slight decline during the forecast period suggests that Airtel may utilize supplier credit more efficiently as the business expands, without materially affecting its liquidity position. Overall, the ratio reflects sound working capital management, strong supplier relationships, and an efficient balance between maintaining liquidity and meeting payment obligations, thereby supporting stable business operations and long-term financial sustainability.</t>
  </si>
  <si>
    <t>Fixed Asset Turnover</t>
  </si>
  <si>
    <t>Airtel's Fixed Asset Turnover Ratio improved from 0.57x in FY23 to 0.68x in FY27, indicating that the company is generating higher revenue from each unit of investment in fixed assets. This improvement reflects better utilization of network infrastructure, increasing subscriber additions, higher data consumption, and operating leverage from previous capital investments. The ratio is projected to gradually decline to 0.48x by FY36, suggesting that future capital expenditure on network expansion, spectrum acquisition, and technology upgrades is expected to grow at a faster pace than revenue. Despite this moderation, the ratio remains at a healthy level, indicating efficient utilization of fixed assets while supporting long-term capacity expansion and sustainable business growth.</t>
  </si>
  <si>
    <t>Working Capital Turnover Ratio</t>
  </si>
  <si>
    <t>Airtel's Working Capital Turnover Ratio remained negative throughout the historical and projected period, moving from (4.71)x in FY23 to (5.87)x in FY27, before stabilizing at around (5.21)x through FY36. The negative ratio reflects the company's negative working capital position, which is common in the telecom industry due to advance customer collections, recurring subscription revenues, and extended supplier credit. This indicates that Airtel is able to finance a significant portion of its operations through current liabilities rather than relying on additional short-term funding. The stable trend over the forecast period suggests efficient working capital management, strong operating cash flow generation, and a sustainable liquidity position that supports long-term business growth.</t>
  </si>
  <si>
    <t>ROIC</t>
  </si>
  <si>
    <t>Airtel's Return on Invested Capital (ROIC) improved significantly from 6.70% in FY22 to 14.50% in FY26, reflecting stronger operating profitability and more efficient utilization of invested capital. The ratio is projected to increase further, peaking at approximately 15.70% in FY32, before gradually moderating to 12.90% by FY36. The initial improvement indicates that the company is generating higher operating returns from its investments through better margin expansion, subscriber growth, and operational efficiencies. The gradual decline in the later years suggests that future investments in network expansion, spectrum acquisition, and technology upgrades are expected to outpace incremental operating profits. Nevertheless, ROIC remains at a healthy level throughout the forecast period, indicating disciplined capital allocation, efficient deployment of long-term investments, and the company's ability to create sustainable value for shareholders.</t>
  </si>
  <si>
    <t>Revenue</t>
  </si>
  <si>
    <t>YoY Growth %</t>
  </si>
  <si>
    <t>Cost of Good Sold</t>
  </si>
  <si>
    <t>Gross profit</t>
  </si>
  <si>
    <t>Gross Profit margin</t>
  </si>
  <si>
    <t>Operating Expenses</t>
  </si>
  <si>
    <t>Depreciation &amp; Amort</t>
  </si>
  <si>
    <t>Finance Cost</t>
  </si>
  <si>
    <t>Other Income</t>
  </si>
  <si>
    <t>PBT</t>
  </si>
  <si>
    <t>Tax expense</t>
  </si>
  <si>
    <t>Profit(Loss)for the period</t>
  </si>
  <si>
    <t>Net Profit margin</t>
  </si>
  <si>
    <t>EPS (Rs)</t>
  </si>
  <si>
    <t>Bharti Airtel Ltd - Key Charts</t>
  </si>
  <si>
    <t>Bharti Airtel</t>
  </si>
  <si>
    <t>Change %</t>
  </si>
  <si>
    <t>Nifty 50</t>
  </si>
  <si>
    <t>Min</t>
  </si>
  <si>
    <t>Max</t>
  </si>
  <si>
    <t>Covariance</t>
  </si>
  <si>
    <t>Variance</t>
  </si>
  <si>
    <t>Beta</t>
  </si>
  <si>
    <t>Index</t>
  </si>
  <si>
    <t>NIFTY 50</t>
  </si>
  <si>
    <t>Yearfrac</t>
  </si>
  <si>
    <t>Market Return</t>
  </si>
  <si>
    <t>Company</t>
  </si>
  <si>
    <t>Ticker</t>
  </si>
  <si>
    <t>Price</t>
  </si>
  <si>
    <t>Shares</t>
  </si>
  <si>
    <t>Debt</t>
  </si>
  <si>
    <t>Cash</t>
  </si>
  <si>
    <t>Sales</t>
  </si>
  <si>
    <t>Net Income</t>
  </si>
  <si>
    <t>Tax %</t>
  </si>
  <si>
    <t>BHARTIARTL</t>
  </si>
  <si>
    <t>Tata Communication</t>
  </si>
  <si>
    <t>TATACOMM</t>
  </si>
  <si>
    <t>Bharti Hexacom</t>
  </si>
  <si>
    <t>BHARTIHEX</t>
  </si>
  <si>
    <t>Tata Teleservices (Maharashtra)</t>
  </si>
  <si>
    <t>TTML</t>
  </si>
  <si>
    <t>MTNL</t>
  </si>
  <si>
    <t>Vodafone Idea</t>
  </si>
  <si>
    <t>IDEA</t>
  </si>
  <si>
    <t>Reliance Communication</t>
  </si>
  <si>
    <t>RCOM</t>
  </si>
  <si>
    <t>Source: Screener</t>
  </si>
  <si>
    <t>Comparable Valuation</t>
  </si>
  <si>
    <t>Financial Data</t>
  </si>
  <si>
    <t>Valuation Data</t>
  </si>
  <si>
    <t>Company Name</t>
  </si>
  <si>
    <t>CMP</t>
  </si>
  <si>
    <t>Market Cap</t>
  </si>
  <si>
    <t>EV</t>
  </si>
  <si>
    <t>Earnings</t>
  </si>
  <si>
    <t>EV/Sales</t>
  </si>
  <si>
    <t>EV/EBITDA</t>
  </si>
  <si>
    <t>P/E</t>
  </si>
  <si>
    <t>Cr</t>
  </si>
  <si>
    <t>₹ Cr</t>
  </si>
  <si>
    <t>&amp; Equivalents</t>
  </si>
  <si>
    <t>x</t>
  </si>
  <si>
    <t>Average</t>
  </si>
  <si>
    <t>Median</t>
  </si>
  <si>
    <t>Metric</t>
  </si>
  <si>
    <t>Net Debt</t>
  </si>
  <si>
    <t>Equity Value</t>
  </si>
  <si>
    <t>Share Price</t>
  </si>
  <si>
    <t>EV/Revenue</t>
  </si>
  <si>
    <t>Unlevered FCFF</t>
  </si>
  <si>
    <t>Less: Tax on EBIT</t>
  </si>
  <si>
    <t>Add: Depreciation &amp; Amortisation</t>
  </si>
  <si>
    <t>Less: Capex</t>
  </si>
  <si>
    <t>Change in working capital</t>
  </si>
  <si>
    <t>Cost of Equity</t>
  </si>
  <si>
    <t>Risk-free rate (Rf)</t>
  </si>
  <si>
    <t>Market return (Rm)</t>
  </si>
  <si>
    <t>Equity Risk Premium (Rm-Rf)</t>
  </si>
  <si>
    <t>Cost of Equity (CAPM)</t>
  </si>
  <si>
    <t>Discount rate (WACC)</t>
  </si>
  <si>
    <t>Cost</t>
  </si>
  <si>
    <t>Weightage</t>
  </si>
  <si>
    <t>WACC</t>
  </si>
  <si>
    <t>Equity</t>
  </si>
  <si>
    <t>Debt (after tax)</t>
  </si>
  <si>
    <t>Equity value</t>
  </si>
  <si>
    <t>Debt Value</t>
  </si>
  <si>
    <t>Market value</t>
  </si>
  <si>
    <t>Terminal value</t>
  </si>
  <si>
    <t>Terminal Value (EV/EBITDA cross-check)</t>
  </si>
  <si>
    <t>Intrinsic value</t>
  </si>
  <si>
    <t>Sum of PV of cashflows</t>
  </si>
  <si>
    <t>PV of Terminal value</t>
  </si>
  <si>
    <t>Enterprise value</t>
  </si>
  <si>
    <t>Add: Cash &amp; Cash Equivalents</t>
  </si>
  <si>
    <t>Less: Debt</t>
  </si>
  <si>
    <t>Less: Non-controlling interest</t>
  </si>
  <si>
    <t>Less: Preferred stock</t>
  </si>
  <si>
    <t>Sensitivity Analysis</t>
  </si>
  <si>
    <t>Discount Rate</t>
  </si>
  <si>
    <t>No of shares outstanding</t>
  </si>
  <si>
    <t>Intrinsic value per share</t>
  </si>
  <si>
    <t>Terminal Growth Rate</t>
  </si>
  <si>
    <t>Current Market price</t>
  </si>
  <si>
    <t>Upside/downside potential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</si>
</sst>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30">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_ ;_ @_ "/>
    <numFmt numFmtId="177" formatCode="_(* #,##0.00_);_(* \(#,##0.00\);_(* \-??_);_(@_)"/>
    <numFmt numFmtId="178" formatCode="_ * #,##0.000000_ ;_ * \-#,##0.000000_ ;_ * \-??_ ;_ @_ "/>
    <numFmt numFmtId="179" formatCode="0.0%"/>
    <numFmt numFmtId="180" formatCode="0.000%"/>
    <numFmt numFmtId="181" formatCode="_ * #,##0_ ;_ * \-#,##0_ ;_ * \-??_ ;_ @_ "/>
    <numFmt numFmtId="182" formatCode="0.00_);[Red]\(0.00\)"/>
    <numFmt numFmtId="183" formatCode=";;;"/>
    <numFmt numFmtId="184" formatCode="&quot;₹&quot;#,##0.00"/>
    <numFmt numFmtId="185" formatCode="&quot;₹&quot;#,##0"/>
    <numFmt numFmtId="186" formatCode="0.0\x"/>
    <numFmt numFmtId="187" formatCode="_-* #,##0_-;\-* #,##0_-;_-* \-??_-;_-@_-"/>
    <numFmt numFmtId="188" formatCode="dd/mm/yyyy"/>
    <numFmt numFmtId="189" formatCode="mmm\ dd&quot;, &quot;yyyy"/>
    <numFmt numFmtId="190" formatCode="#,##0.0"/>
    <numFmt numFmtId="191" formatCode="0.00_ "/>
    <numFmt numFmtId="192" formatCode="0.000000"/>
    <numFmt numFmtId="193" formatCode="0.0"/>
    <numFmt numFmtId="194" formatCode="0.00\x"/>
    <numFmt numFmtId="195" formatCode="#,##0.000"/>
    <numFmt numFmtId="196" formatCode="m/d/yyyy;@"/>
    <numFmt numFmtId="197" formatCode="_(* #,##0.00_);_(* \(#,##0.00\);_(* \-??.00_);_(@_)"/>
    <numFmt numFmtId="198" formatCode="0_ "/>
    <numFmt numFmtId="199" formatCode="0.000000%"/>
    <numFmt numFmtId="200" formatCode="dd/mmm/yy"/>
    <numFmt numFmtId="201" formatCode="_ * #,##0.00_ ;_ * \-#,##0.00_ ;_ * \-??.00_ ;_ @_ "/>
  </numFmts>
  <fonts count="147">
    <font>
      <sz val="11"/>
      <color theme="1"/>
      <name val="Calibri"/>
      <charset val="134"/>
    </font>
    <font>
      <sz val="36"/>
      <color theme="0"/>
      <name val="Calibri"/>
      <charset val="1"/>
    </font>
    <font>
      <b/>
      <sz val="12"/>
      <color theme="0"/>
      <name val="Calibri Light"/>
      <charset val="1"/>
    </font>
    <font>
      <b/>
      <sz val="11"/>
      <color theme="1"/>
      <name val="Calibri Light"/>
      <charset val="1"/>
    </font>
    <font>
      <i/>
      <sz val="11"/>
      <color theme="1"/>
      <name val="Calibri Light"/>
      <charset val="1"/>
    </font>
    <font>
      <sz val="11"/>
      <color theme="1"/>
      <name val="Calibri Light"/>
      <charset val="1"/>
    </font>
    <font>
      <b/>
      <sz val="11"/>
      <color theme="0"/>
      <name val="Calibri Light"/>
      <charset val="1"/>
    </font>
    <font>
      <b/>
      <u/>
      <sz val="11"/>
      <color theme="1"/>
      <name val="Calibri Light"/>
      <charset val="1"/>
    </font>
    <font>
      <sz val="10"/>
      <name val="Calibri Light"/>
      <charset val="1"/>
    </font>
    <font>
      <b/>
      <i/>
      <sz val="11"/>
      <color theme="1"/>
      <name val="Calibri Light"/>
      <charset val="1"/>
    </font>
    <font>
      <sz val="11"/>
      <color rgb="FF0070C0"/>
      <name val="Calibri Light"/>
      <charset val="1"/>
    </font>
    <font>
      <sz val="12"/>
      <color theme="1"/>
      <name val="Book Antiqua"/>
      <charset val="1"/>
    </font>
    <font>
      <b/>
      <sz val="12"/>
      <color theme="0"/>
      <name val="Book Antiqua"/>
      <charset val="1"/>
    </font>
    <font>
      <sz val="14"/>
      <color theme="1"/>
      <name val="Calibri"/>
      <charset val="1"/>
    </font>
    <font>
      <sz val="12"/>
      <color theme="0"/>
      <name val="Calibri"/>
      <charset val="1"/>
    </font>
    <font>
      <sz val="11"/>
      <color theme="1"/>
      <name val="Book Antiqua"/>
      <charset val="1"/>
    </font>
    <font>
      <b/>
      <sz val="14"/>
      <color theme="0"/>
      <name val="Book Antiqua"/>
      <charset val="1"/>
    </font>
    <font>
      <sz val="14"/>
      <color theme="0"/>
      <name val="Book Antiqua"/>
      <charset val="1"/>
    </font>
    <font>
      <sz val="11"/>
      <color rgb="FF22222F"/>
      <name val="Arial"/>
      <charset val="1"/>
    </font>
    <font>
      <sz val="12"/>
      <color theme="1"/>
      <name val="Arial"/>
      <charset val="1"/>
    </font>
    <font>
      <sz val="14"/>
      <color theme="0" tint="-0.25"/>
      <name val="Calibri"/>
      <charset val="1"/>
    </font>
    <font>
      <sz val="12"/>
      <color theme="0" tint="-0.25"/>
      <name val="Arial"/>
      <charset val="1"/>
    </font>
    <font>
      <sz val="14"/>
      <color theme="1"/>
      <name val="Microsoft YaHei"/>
      <charset val="1"/>
    </font>
    <font>
      <sz val="14"/>
      <color rgb="FF1D41D5"/>
      <name val="Arial"/>
      <charset val="1"/>
    </font>
    <font>
      <sz val="14"/>
      <color rgb="FF1D41D5"/>
      <name val="Calibri Light"/>
      <charset val="1"/>
    </font>
    <font>
      <sz val="14"/>
      <color rgb="FF22222F"/>
      <name val="Arial"/>
      <charset val="1"/>
    </font>
    <font>
      <sz val="14"/>
      <color rgb="FF645DF9"/>
      <name val="Arial"/>
      <charset val="1"/>
    </font>
    <font>
      <sz val="14"/>
      <color rgb="FF1D41D5"/>
      <name val="Book Antiqua"/>
      <charset val="1"/>
    </font>
    <font>
      <sz val="14"/>
      <color theme="1"/>
      <name val="Book Antiqua"/>
      <charset val="1"/>
    </font>
    <font>
      <sz val="14"/>
      <color rgb="FF000000"/>
      <name val="Calibri"/>
      <charset val="1"/>
    </font>
    <font>
      <i/>
      <u/>
      <sz val="14"/>
      <color rgb="FFFF0000"/>
      <name val="Calibri Light"/>
      <charset val="1"/>
    </font>
    <font>
      <sz val="14"/>
      <color rgb="FF0070C0"/>
      <name val="Calibri Light"/>
      <charset val="1"/>
    </font>
    <font>
      <sz val="12"/>
      <color rgb="FF0432FF"/>
      <name val="Book Antiqua"/>
      <charset val="1"/>
    </font>
    <font>
      <sz val="12"/>
      <color rgb="FF000000"/>
      <name val="Calibri"/>
      <charset val="1"/>
    </font>
    <font>
      <sz val="11"/>
      <color rgb="FF645DF9"/>
      <name val="Arial"/>
      <charset val="1"/>
    </font>
    <font>
      <b/>
      <sz val="11"/>
      <color theme="1"/>
      <name val="Calibri"/>
      <charset val="1"/>
    </font>
    <font>
      <b/>
      <sz val="10"/>
      <color theme="0"/>
      <name val="Arial"/>
      <charset val="1"/>
    </font>
    <font>
      <sz val="10"/>
      <color rgb="FF000000"/>
      <name val="Arial"/>
      <charset val="1"/>
    </font>
    <font>
      <sz val="10"/>
      <color theme="1"/>
      <name val="Arial"/>
      <charset val="1"/>
    </font>
    <font>
      <b/>
      <sz val="11"/>
      <color theme="1"/>
      <name val="Book Antiqua"/>
      <charset val="1"/>
    </font>
    <font>
      <sz val="11"/>
      <color theme="0"/>
      <name val="Book Antiqua"/>
      <charset val="1"/>
    </font>
    <font>
      <b/>
      <sz val="11"/>
      <color rgb="FF232526"/>
      <name val="Segoe UI"/>
      <charset val="134"/>
    </font>
    <font>
      <sz val="11"/>
      <color rgb="FF232526"/>
      <name val="Segoe UI"/>
      <charset val="134"/>
    </font>
    <font>
      <b/>
      <sz val="10"/>
      <color theme="0"/>
      <name val="Calibri Light"/>
      <charset val="1"/>
    </font>
    <font>
      <sz val="10"/>
      <color theme="0"/>
      <name val="Arial"/>
      <charset val="1"/>
    </font>
    <font>
      <sz val="18"/>
      <color rgb="FF007C32"/>
      <name val="Segoe UI"/>
      <charset val="134"/>
    </font>
    <font>
      <b/>
      <sz val="11"/>
      <color rgb="FF007C32"/>
      <name val="Segoe UI"/>
      <charset val="134"/>
    </font>
    <font>
      <sz val="10"/>
      <name val="Arial"/>
      <charset val="1"/>
    </font>
    <font>
      <b/>
      <sz val="10"/>
      <color theme="1"/>
      <name val="Calibri Light"/>
      <charset val="1"/>
    </font>
    <font>
      <sz val="16"/>
      <color theme="1"/>
      <name val="Book Antiqua"/>
      <charset val="134"/>
    </font>
    <font>
      <sz val="11"/>
      <color theme="1"/>
      <name val="Book Antiqua"/>
      <charset val="134"/>
    </font>
    <font>
      <sz val="10"/>
      <color rgb="FF0EA600"/>
      <name val="Arial"/>
      <charset val="1"/>
    </font>
    <font>
      <b/>
      <sz val="11"/>
      <color rgb="FFD91400"/>
      <name val="Segoe UI"/>
      <charset val="134"/>
    </font>
    <font>
      <sz val="11"/>
      <color rgb="FF007C32"/>
      <name val="Segoe UI"/>
      <charset val="134"/>
    </font>
    <font>
      <sz val="11"/>
      <color rgb="FFD91400"/>
      <name val="Segoe UI"/>
      <charset val="134"/>
    </font>
    <font>
      <sz val="11"/>
      <color theme="0"/>
      <name val="Segoe UI"/>
      <charset val="134"/>
    </font>
    <font>
      <b/>
      <sz val="11"/>
      <color theme="0"/>
      <name val="Segoe UI"/>
      <charset val="134"/>
    </font>
    <font>
      <b/>
      <sz val="11"/>
      <color theme="1"/>
      <name val="Calibri Light"/>
      <charset val="134"/>
    </font>
    <font>
      <b/>
      <sz val="11"/>
      <color theme="1"/>
      <name val="Calibri"/>
      <charset val="134"/>
    </font>
    <font>
      <i/>
      <sz val="11"/>
      <color theme="1"/>
      <name val="Calibri Light"/>
      <charset val="134"/>
    </font>
    <font>
      <sz val="11"/>
      <color theme="1"/>
      <name val="Calibri Light"/>
      <charset val="134"/>
    </font>
    <font>
      <sz val="11"/>
      <name val="Calibri Light"/>
      <charset val="1"/>
    </font>
    <font>
      <b/>
      <sz val="12"/>
      <color rgb="FFFFFFFF"/>
      <name val="Calibri Light"/>
      <charset val="1"/>
    </font>
    <font>
      <b/>
      <sz val="11"/>
      <name val="Calibri Light"/>
      <charset val="1"/>
    </font>
    <font>
      <sz val="10.5"/>
      <name val="Calibri Light"/>
      <charset val="1"/>
    </font>
    <font>
      <sz val="24"/>
      <color theme="0"/>
      <name val="Calibri"/>
      <charset val="134"/>
    </font>
    <font>
      <i/>
      <sz val="11"/>
      <color theme="1"/>
      <name val="Calibri"/>
      <charset val="134"/>
    </font>
    <font>
      <b/>
      <sz val="20"/>
      <color theme="1"/>
      <name val="Calibri"/>
      <charset val="134"/>
    </font>
    <font>
      <sz val="12"/>
      <color theme="1"/>
      <name val="Book Antiqua"/>
      <charset val="134"/>
    </font>
    <font>
      <b/>
      <sz val="12"/>
      <color theme="1"/>
      <name val="Book Antiqua"/>
      <charset val="134"/>
    </font>
    <font>
      <b/>
      <sz val="11"/>
      <color theme="1"/>
      <name val="Book Antiqua"/>
      <charset val="134"/>
    </font>
    <font>
      <b/>
      <sz val="14"/>
      <color theme="1"/>
      <name val="Book Antiqua"/>
      <charset val="134"/>
    </font>
    <font>
      <sz val="14"/>
      <color theme="1"/>
      <name val="Book Antiqua"/>
      <charset val="134"/>
    </font>
    <font>
      <sz val="12"/>
      <color rgb="FF000000"/>
      <name val="Calibri"/>
      <charset val="134"/>
    </font>
    <font>
      <sz val="14"/>
      <color theme="1"/>
      <name val="Calibri"/>
      <charset val="134"/>
    </font>
    <font>
      <sz val="12"/>
      <color theme="1"/>
      <name val="Calibri"/>
      <charset val="134"/>
    </font>
    <font>
      <sz val="11"/>
      <color theme="1"/>
      <name val="Calibri"/>
      <charset val="1"/>
    </font>
    <font>
      <sz val="11"/>
      <color rgb="FF1D41D5"/>
      <name val="Calibri Light"/>
      <charset val="1"/>
    </font>
    <font>
      <b/>
      <sz val="18"/>
      <color theme="1"/>
      <name val="Calibri"/>
      <charset val="1"/>
    </font>
    <font>
      <sz val="11"/>
      <color theme="1"/>
      <name val="Cambria"/>
      <charset val="1"/>
    </font>
    <font>
      <b/>
      <sz val="10"/>
      <color rgb="FF1D41D5"/>
      <name val="Calibri"/>
      <charset val="1"/>
    </font>
    <font>
      <i/>
      <sz val="9"/>
      <color rgb="FF808080"/>
      <name val="Calibri"/>
      <charset val="1"/>
    </font>
    <font>
      <b/>
      <u/>
      <sz val="11"/>
      <color theme="1"/>
      <name val="Calibri"/>
      <charset val="1"/>
    </font>
    <font>
      <b/>
      <u/>
      <sz val="11"/>
      <color theme="1"/>
      <name val="Calibri"/>
      <charset val="134"/>
    </font>
    <font>
      <u/>
      <sz val="11"/>
      <color theme="1"/>
      <name val="Calibri"/>
      <charset val="1"/>
    </font>
    <font>
      <b/>
      <i/>
      <sz val="14"/>
      <color theme="1"/>
      <name val="Calibri"/>
      <charset val="1"/>
    </font>
    <font>
      <sz val="11"/>
      <color theme="0" tint="-0.35"/>
      <name val="Calibri"/>
      <charset val="1"/>
    </font>
    <font>
      <sz val="10"/>
      <name val="Arial"/>
      <charset val="134"/>
    </font>
    <font>
      <i/>
      <sz val="11"/>
      <color rgb="FF0070C0"/>
      <name val="Calibri Light"/>
      <charset val="1"/>
    </font>
    <font>
      <sz val="11"/>
      <color theme="4"/>
      <name val="Calibri Light"/>
      <charset val="1"/>
    </font>
    <font>
      <i/>
      <sz val="11"/>
      <name val="Calibri Light"/>
      <charset val="1"/>
    </font>
    <font>
      <b/>
      <sz val="12"/>
      <color theme="1"/>
      <name val="Calibri Light"/>
      <charset val="1"/>
    </font>
    <font>
      <b/>
      <u/>
      <sz val="12"/>
      <color theme="1"/>
      <name val="Calibri"/>
      <charset val="134"/>
    </font>
    <font>
      <sz val="11"/>
      <color rgb="FF0070C0"/>
      <name val="Calibri"/>
      <charset val="134"/>
    </font>
    <font>
      <b/>
      <sz val="11"/>
      <color rgb="FF0070C0"/>
      <name val="Calibri Light"/>
      <charset val="1"/>
    </font>
    <font>
      <sz val="11"/>
      <name val="Calibri"/>
      <charset val="134"/>
    </font>
    <font>
      <sz val="11"/>
      <color theme="0" tint="-0.15"/>
      <name val="Calibri Light"/>
      <charset val="1"/>
    </font>
    <font>
      <i/>
      <sz val="11"/>
      <color theme="0" tint="-0.15"/>
      <name val="Calibri Light"/>
      <charset val="134"/>
    </font>
    <font>
      <sz val="11"/>
      <color rgb="FF008000"/>
      <name val="Calibri Light"/>
      <charset val="1"/>
    </font>
    <font>
      <b/>
      <u/>
      <sz val="16"/>
      <color rgb="FF002060"/>
      <name val="Calibri Light"/>
      <charset val="1"/>
    </font>
    <font>
      <b/>
      <sz val="12"/>
      <name val="Calibri Light"/>
      <charset val="1"/>
    </font>
    <font>
      <sz val="11"/>
      <color rgb="FF1D41D5"/>
      <name val="Calibri"/>
      <charset val="1"/>
    </font>
    <font>
      <b/>
      <sz val="12"/>
      <color theme="1"/>
      <name val="Calibri"/>
      <charset val="1"/>
    </font>
    <font>
      <b/>
      <sz val="16"/>
      <color theme="1"/>
      <name val="Calibri"/>
      <charset val="1"/>
    </font>
    <font>
      <b/>
      <sz val="14"/>
      <color theme="0"/>
      <name val="Calibri"/>
      <charset val="1"/>
    </font>
    <font>
      <b/>
      <sz val="11"/>
      <color theme="0"/>
      <name val="Calibri"/>
      <charset val="1"/>
    </font>
    <font>
      <b/>
      <sz val="11"/>
      <color rgb="FF1D41D5"/>
      <name val="Calibri"/>
      <charset val="1"/>
    </font>
    <font>
      <i/>
      <sz val="11"/>
      <color theme="1"/>
      <name val="Calibri"/>
      <charset val="1"/>
    </font>
    <font>
      <b/>
      <sz val="18"/>
      <color theme="0"/>
      <name val="Calibri"/>
      <charset val="1"/>
    </font>
    <font>
      <u/>
      <sz val="11"/>
      <color rgb="FF0000FF"/>
      <name val="Calibri"/>
      <charset val="1"/>
    </font>
    <font>
      <b/>
      <sz val="9"/>
      <color theme="1"/>
      <name val="Calibri Light"/>
      <charset val="1"/>
    </font>
    <font>
      <sz val="12"/>
      <color theme="1"/>
      <name val="Calibri Light"/>
      <charset val="1"/>
    </font>
    <font>
      <sz val="12"/>
      <color theme="1"/>
      <name val="Calibri"/>
      <charset val="1"/>
    </font>
    <font>
      <sz val="14"/>
      <color theme="1"/>
      <name val="Calibri Light"/>
      <charset val="1"/>
    </font>
    <font>
      <b/>
      <sz val="14"/>
      <color theme="0"/>
      <name val="Calibri Light"/>
      <charset val="1"/>
    </font>
    <font>
      <b/>
      <sz val="14"/>
      <color theme="1"/>
      <name val="Calibri Light"/>
      <charset val="1"/>
    </font>
    <font>
      <b/>
      <sz val="11"/>
      <color theme="0"/>
      <name val="Book Antiqua"/>
      <charset val="1"/>
    </font>
    <font>
      <sz val="11"/>
      <name val="Book Antiqua"/>
      <charset val="1"/>
    </font>
    <font>
      <sz val="36"/>
      <color theme="0"/>
      <name val="Calibri"/>
      <charset val="134"/>
    </font>
    <font>
      <b/>
      <sz val="16"/>
      <color theme="1"/>
      <name val="Calibri"/>
      <charset val="134"/>
    </font>
    <font>
      <b/>
      <sz val="18"/>
      <color theme="1"/>
      <name val="Calibri"/>
      <charset val="134"/>
    </font>
    <font>
      <u/>
      <sz val="11"/>
      <color rgb="FF800080"/>
      <name val="Calibri"/>
      <charset val="1"/>
    </font>
    <font>
      <sz val="16"/>
      <color theme="1"/>
      <name val="Calibri"/>
      <charset val="134"/>
    </font>
    <font>
      <b/>
      <sz val="16"/>
      <color theme="0"/>
      <name val="Calibri"/>
      <charset val="134"/>
    </font>
    <font>
      <sz val="16"/>
      <color theme="0"/>
      <name val="Calibri"/>
      <charset val="134"/>
    </font>
    <font>
      <sz val="11"/>
      <color theme="0"/>
      <name val="Calibri"/>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56">
    <fill>
      <patternFill patternType="none"/>
    </fill>
    <fill>
      <patternFill patternType="gray125"/>
    </fill>
    <fill>
      <patternFill patternType="solid">
        <fgColor theme="9" tint="-0.25"/>
        <bgColor rgb="FFD91400"/>
      </patternFill>
    </fill>
    <fill>
      <patternFill patternType="solid">
        <fgColor rgb="FFFF0000"/>
        <bgColor rgb="FFD91400"/>
      </patternFill>
    </fill>
    <fill>
      <patternFill patternType="solid">
        <fgColor theme="0"/>
        <bgColor rgb="FFF2F2F2"/>
      </patternFill>
    </fill>
    <fill>
      <patternFill patternType="solid">
        <fgColor theme="0" tint="-0.05"/>
        <bgColor rgb="FFE3EAF2"/>
      </patternFill>
    </fill>
    <fill>
      <patternFill patternType="solid">
        <fgColor rgb="FFC0C0C0"/>
        <bgColor rgb="FFBFBFBF"/>
      </patternFill>
    </fill>
    <fill>
      <patternFill patternType="solid">
        <fgColor rgb="FF002060"/>
        <bgColor rgb="FF22222F"/>
      </patternFill>
    </fill>
    <fill>
      <patternFill patternType="solid">
        <fgColor rgb="FFCCFF99"/>
        <bgColor rgb="FFFFFFCC"/>
      </patternFill>
    </fill>
    <fill>
      <patternFill patternType="solid">
        <fgColor theme="0" tint="-0.25"/>
        <bgColor rgb="FFC0C0C0"/>
      </patternFill>
    </fill>
    <fill>
      <patternFill patternType="solid">
        <fgColor theme="0" tint="-0.15"/>
        <bgColor rgb="FFD6DCE5"/>
      </patternFill>
    </fill>
    <fill>
      <patternFill patternType="solid">
        <fgColor theme="3" tint="-0.25"/>
        <bgColor rgb="FF232526"/>
      </patternFill>
    </fill>
    <fill>
      <patternFill patternType="solid">
        <fgColor theme="3" tint="0.7998"/>
        <bgColor rgb="FFD9D9D9"/>
      </patternFill>
    </fill>
    <fill>
      <patternFill patternType="solid">
        <fgColor theme="4" tint="0.3998"/>
        <bgColor rgb="FFA6A6A6"/>
      </patternFill>
    </fill>
    <fill>
      <patternFill patternType="solid">
        <fgColor theme="0" tint="-0.05"/>
        <bgColor rgb="FFE3EAF2"/>
      </patternFill>
    </fill>
    <fill>
      <patternFill patternType="solid">
        <fgColor theme="0" tint="-0.05"/>
        <bgColor indexed="64"/>
      </patternFill>
    </fill>
    <fill>
      <patternFill patternType="solid">
        <fgColor theme="0"/>
        <bgColor indexed="64"/>
      </patternFill>
    </fill>
    <fill>
      <patternFill patternType="solid">
        <fgColor rgb="FFC00000"/>
        <bgColor rgb="FFD91400"/>
      </patternFill>
    </fill>
    <fill>
      <patternFill patternType="solid">
        <fgColor theme="5" tint="0.4"/>
        <bgColor rgb="FFF5B7BF"/>
      </patternFill>
    </fill>
    <fill>
      <patternFill patternType="solid">
        <fgColor theme="2" tint="-0.1"/>
        <bgColor rgb="FFD9D9D9"/>
      </patternFill>
    </fill>
    <fill>
      <patternFill patternType="solid">
        <fgColor theme="0"/>
        <bgColor rgb="FFC0C0C0"/>
      </patternFill>
    </fill>
    <fill>
      <patternFill patternType="solid">
        <fgColor theme="0" tint="-0.05"/>
        <bgColor rgb="FFC0C0C0"/>
      </patternFill>
    </fill>
    <fill>
      <patternFill patternType="solid">
        <fgColor rgb="FFFFFFCC"/>
        <bgColor rgb="FFFFFFFF"/>
      </patternFill>
    </fill>
    <fill>
      <patternFill patternType="solid">
        <fgColor theme="4" tint="0.7998"/>
        <bgColor rgb="FFE3EAF2"/>
      </patternFill>
    </fill>
    <fill>
      <patternFill patternType="solid">
        <fgColor theme="5" tint="0.8"/>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auto="1"/>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medium">
        <color rgb="FFE3EAF2"/>
      </bottom>
      <diagonal/>
    </border>
    <border>
      <left style="dashed">
        <color auto="1"/>
      </left>
      <right style="dashed">
        <color auto="1"/>
      </right>
      <top style="dashed">
        <color auto="1"/>
      </top>
      <bottom style="dashed">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dotted">
        <color auto="1"/>
      </right>
      <top style="dotted">
        <color auto="1"/>
      </top>
      <bottom style="dotted">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style="dotted">
        <color auto="1"/>
      </left>
      <right style="dotted">
        <color auto="1"/>
      </right>
      <top style="dotted">
        <color auto="1"/>
      </top>
      <bottom style="dotted">
        <color auto="1"/>
      </bottom>
      <diagonal/>
    </border>
    <border>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medium">
        <color auto="1"/>
      </bottom>
      <diagonal/>
    </border>
    <border>
      <left style="thin">
        <color auto="1"/>
      </left>
      <right/>
      <top style="thin">
        <color auto="1"/>
      </top>
      <bottom style="thin">
        <color auto="1"/>
      </bottom>
      <diagonal/>
    </border>
    <border>
      <left style="thin">
        <color auto="1"/>
      </left>
      <right/>
      <top/>
      <bottom style="medium">
        <color auto="1"/>
      </bottom>
      <diagonal/>
    </border>
    <border>
      <left/>
      <right/>
      <top/>
      <bottom style="double">
        <color auto="1"/>
      </bottom>
      <diagonal/>
    </border>
    <border>
      <left style="double">
        <color auto="1"/>
      </left>
      <right/>
      <top/>
      <bottom style="medium">
        <color auto="1"/>
      </bottom>
      <diagonal/>
    </border>
    <border>
      <left style="thin">
        <color auto="1"/>
      </left>
      <right/>
      <top/>
      <bottom style="double">
        <color auto="1"/>
      </bottom>
      <diagonal/>
    </border>
    <border>
      <left/>
      <right style="thin">
        <color auto="1"/>
      </right>
      <top/>
      <bottom style="double">
        <color auto="1"/>
      </bottom>
      <diagonal/>
    </border>
    <border>
      <left/>
      <right/>
      <top style="double">
        <color auto="1"/>
      </top>
      <bottom/>
      <diagonal/>
    </border>
    <border>
      <left/>
      <right style="thin">
        <color auto="1"/>
      </right>
      <top style="double">
        <color auto="1"/>
      </top>
      <bottom/>
      <diagonal/>
    </border>
    <border>
      <left style="double">
        <color auto="1"/>
      </left>
      <right/>
      <top/>
      <bottom style="double">
        <color auto="1"/>
      </bottom>
      <diagonal/>
    </border>
    <border>
      <left style="double">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87" fillId="0" borderId="0" applyBorder="0" applyAlignment="0" applyProtection="0"/>
    <xf numFmtId="44" fontId="87" fillId="0" borderId="0" applyBorder="0" applyAlignment="0" applyProtection="0"/>
    <xf numFmtId="9" fontId="87" fillId="0" borderId="0" applyBorder="0" applyAlignment="0" applyProtection="0"/>
    <xf numFmtId="41" fontId="87" fillId="0" borderId="0" applyBorder="0" applyAlignment="0" applyProtection="0"/>
    <xf numFmtId="42" fontId="87" fillId="0" borderId="0" applyBorder="0" applyAlignment="0" applyProtection="0"/>
    <xf numFmtId="0" fontId="126"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25" borderId="40" applyNumberFormat="0" applyFon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0" borderId="41" applyNumberFormat="0" applyFill="0" applyAlignment="0" applyProtection="0">
      <alignment vertical="center"/>
    </xf>
    <xf numFmtId="0" fontId="133" fillId="0" borderId="41" applyNumberFormat="0" applyFill="0" applyAlignment="0" applyProtection="0">
      <alignment vertical="center"/>
    </xf>
    <xf numFmtId="0" fontId="134" fillId="0" borderId="42" applyNumberFormat="0" applyFill="0" applyAlignment="0" applyProtection="0">
      <alignment vertical="center"/>
    </xf>
    <xf numFmtId="0" fontId="134" fillId="0" borderId="0" applyNumberFormat="0" applyFill="0" applyBorder="0" applyAlignment="0" applyProtection="0">
      <alignment vertical="center"/>
    </xf>
    <xf numFmtId="0" fontId="135" fillId="26" borderId="43" applyNumberFormat="0" applyAlignment="0" applyProtection="0">
      <alignment vertical="center"/>
    </xf>
    <xf numFmtId="0" fontId="136" fillId="27" borderId="44" applyNumberFormat="0" applyAlignment="0" applyProtection="0">
      <alignment vertical="center"/>
    </xf>
    <xf numFmtId="0" fontId="137" fillId="27" borderId="43" applyNumberFormat="0" applyAlignment="0" applyProtection="0">
      <alignment vertical="center"/>
    </xf>
    <xf numFmtId="0" fontId="138" fillId="28" borderId="45" applyNumberFormat="0" applyAlignment="0" applyProtection="0">
      <alignment vertical="center"/>
    </xf>
    <xf numFmtId="0" fontId="139" fillId="0" borderId="46" applyNumberFormat="0" applyFill="0" applyAlignment="0" applyProtection="0">
      <alignment vertical="center"/>
    </xf>
    <xf numFmtId="0" fontId="140" fillId="0" borderId="47" applyNumberFormat="0" applyFill="0" applyAlignment="0" applyProtection="0">
      <alignment vertical="center"/>
    </xf>
    <xf numFmtId="0" fontId="141" fillId="29" borderId="0" applyNumberFormat="0" applyBorder="0" applyAlignment="0" applyProtection="0">
      <alignment vertical="center"/>
    </xf>
    <xf numFmtId="0" fontId="142" fillId="30" borderId="0" applyNumberFormat="0" applyBorder="0" applyAlignment="0" applyProtection="0">
      <alignment vertical="center"/>
    </xf>
    <xf numFmtId="0" fontId="143" fillId="31" borderId="0" applyNumberFormat="0" applyBorder="0" applyAlignment="0" applyProtection="0">
      <alignment vertical="center"/>
    </xf>
    <xf numFmtId="0" fontId="144" fillId="32" borderId="0" applyNumberFormat="0" applyBorder="0" applyAlignment="0" applyProtection="0">
      <alignment vertical="center"/>
    </xf>
    <xf numFmtId="0" fontId="145" fillId="33" borderId="0" applyNumberFormat="0" applyBorder="0" applyAlignment="0" applyProtection="0">
      <alignment vertical="center"/>
    </xf>
    <xf numFmtId="0" fontId="145" fillId="34" borderId="0" applyNumberFormat="0" applyBorder="0" applyAlignment="0" applyProtection="0">
      <alignment vertical="center"/>
    </xf>
    <xf numFmtId="0" fontId="144" fillId="35" borderId="0" applyNumberFormat="0" applyBorder="0" applyAlignment="0" applyProtection="0">
      <alignment vertical="center"/>
    </xf>
    <xf numFmtId="0" fontId="144" fillId="36" borderId="0" applyNumberFormat="0" applyBorder="0" applyAlignment="0" applyProtection="0">
      <alignment vertical="center"/>
    </xf>
    <xf numFmtId="0" fontId="145" fillId="37" borderId="0" applyNumberFormat="0" applyBorder="0" applyAlignment="0" applyProtection="0">
      <alignment vertical="center"/>
    </xf>
    <xf numFmtId="0" fontId="145" fillId="38" borderId="0" applyNumberFormat="0" applyBorder="0" applyAlignment="0" applyProtection="0">
      <alignment vertical="center"/>
    </xf>
    <xf numFmtId="0" fontId="144" fillId="39" borderId="0" applyNumberFormat="0" applyBorder="0" applyAlignment="0" applyProtection="0">
      <alignment vertical="center"/>
    </xf>
    <xf numFmtId="0" fontId="144" fillId="40" borderId="0" applyNumberFormat="0" applyBorder="0" applyAlignment="0" applyProtection="0">
      <alignment vertical="center"/>
    </xf>
    <xf numFmtId="0" fontId="145" fillId="41" borderId="0" applyNumberFormat="0" applyBorder="0" applyAlignment="0" applyProtection="0">
      <alignment vertical="center"/>
    </xf>
    <xf numFmtId="0" fontId="145" fillId="42" borderId="0" applyNumberFormat="0" applyBorder="0" applyAlignment="0" applyProtection="0">
      <alignment vertical="center"/>
    </xf>
    <xf numFmtId="0" fontId="144" fillId="43" borderId="0" applyNumberFormat="0" applyBorder="0" applyAlignment="0" applyProtection="0">
      <alignment vertical="center"/>
    </xf>
    <xf numFmtId="0" fontId="144" fillId="44" borderId="0" applyNumberFormat="0" applyBorder="0" applyAlignment="0" applyProtection="0">
      <alignment vertical="center"/>
    </xf>
    <xf numFmtId="0" fontId="145" fillId="45" borderId="0" applyNumberFormat="0" applyBorder="0" applyAlignment="0" applyProtection="0">
      <alignment vertical="center"/>
    </xf>
    <xf numFmtId="0" fontId="145" fillId="46" borderId="0" applyNumberFormat="0" applyBorder="0" applyAlignment="0" applyProtection="0">
      <alignment vertical="center"/>
    </xf>
    <xf numFmtId="0" fontId="144" fillId="47" borderId="0" applyNumberFormat="0" applyBorder="0" applyAlignment="0" applyProtection="0">
      <alignment vertical="center"/>
    </xf>
    <xf numFmtId="0" fontId="144" fillId="48" borderId="0" applyNumberFormat="0" applyBorder="0" applyAlignment="0" applyProtection="0">
      <alignment vertical="center"/>
    </xf>
    <xf numFmtId="0" fontId="145" fillId="49" borderId="0" applyNumberFormat="0" applyBorder="0" applyAlignment="0" applyProtection="0">
      <alignment vertical="center"/>
    </xf>
    <xf numFmtId="0" fontId="145" fillId="50" borderId="0" applyNumberFormat="0" applyBorder="0" applyAlignment="0" applyProtection="0">
      <alignment vertical="center"/>
    </xf>
    <xf numFmtId="0" fontId="144" fillId="51" borderId="0" applyNumberFormat="0" applyBorder="0" applyAlignment="0" applyProtection="0">
      <alignment vertical="center"/>
    </xf>
    <xf numFmtId="0" fontId="144" fillId="52" borderId="0" applyNumberFormat="0" applyBorder="0" applyAlignment="0" applyProtection="0">
      <alignment vertical="center"/>
    </xf>
    <xf numFmtId="0" fontId="145" fillId="53" borderId="0" applyNumberFormat="0" applyBorder="0" applyAlignment="0" applyProtection="0">
      <alignment vertical="center"/>
    </xf>
    <xf numFmtId="0" fontId="145" fillId="54" borderId="0" applyNumberFormat="0" applyBorder="0" applyAlignment="0" applyProtection="0">
      <alignment vertical="center"/>
    </xf>
    <xf numFmtId="0" fontId="144" fillId="55" borderId="0" applyNumberFormat="0" applyBorder="0" applyAlignment="0" applyProtection="0">
      <alignment vertical="center"/>
    </xf>
    <xf numFmtId="0" fontId="76" fillId="0" borderId="0"/>
    <xf numFmtId="0" fontId="112" fillId="0" borderId="0"/>
    <xf numFmtId="0" fontId="5" fillId="0" borderId="0"/>
  </cellStyleXfs>
  <cellXfs count="710">
    <xf numFmtId="0" fontId="0" fillId="0" borderId="0" xfId="0">
      <alignment vertical="center"/>
    </xf>
    <xf numFmtId="0" fontId="0" fillId="0" borderId="0" xfId="0" applyAlignment="1"/>
    <xf numFmtId="0" fontId="1" fillId="2" borderId="0" xfId="0" applyFont="1" applyFill="1" applyBorder="1" applyAlignment="1">
      <alignment horizontal="center" vertical="center" wrapText="1"/>
    </xf>
    <xf numFmtId="0" fontId="2" fillId="3" borderId="1" xfId="0" applyFont="1" applyFill="1" applyBorder="1" applyAlignment="1">
      <alignment horizontal="center"/>
    </xf>
    <xf numFmtId="0" fontId="3" fillId="4"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4" fillId="0" borderId="2" xfId="0" applyFont="1" applyBorder="1" applyAlignment="1">
      <alignment horizontal="center"/>
    </xf>
    <xf numFmtId="0" fontId="4" fillId="5" borderId="2" xfId="0" applyFont="1" applyFill="1" applyBorder="1" applyAlignment="1">
      <alignment horizontal="center"/>
    </xf>
    <xf numFmtId="0" fontId="5" fillId="0" borderId="0" xfId="0" applyFont="1" applyAlignment="1"/>
    <xf numFmtId="0" fontId="5" fillId="5" borderId="0" xfId="0" applyFont="1" applyFill="1" applyAlignment="1"/>
    <xf numFmtId="176" fontId="5" fillId="0" borderId="0" xfId="0" applyNumberFormat="1" applyFont="1" applyAlignment="1"/>
    <xf numFmtId="177" fontId="5" fillId="0" borderId="0" xfId="0" applyNumberFormat="1" applyFont="1" applyAlignment="1"/>
    <xf numFmtId="176" fontId="5" fillId="5" borderId="0" xfId="0" applyNumberFormat="1" applyFont="1" applyFill="1" applyAlignment="1"/>
    <xf numFmtId="177" fontId="5" fillId="5" borderId="0" xfId="0" applyNumberFormat="1" applyFont="1" applyFill="1" applyAlignment="1"/>
    <xf numFmtId="0" fontId="3" fillId="0" borderId="0" xfId="0" applyFont="1" applyAlignment="1"/>
    <xf numFmtId="176" fontId="3" fillId="0" borderId="4" xfId="0" applyNumberFormat="1" applyFont="1" applyBorder="1" applyAlignment="1"/>
    <xf numFmtId="177" fontId="3" fillId="0" borderId="4" xfId="0" applyNumberFormat="1" applyFont="1" applyBorder="1" applyAlignment="1"/>
    <xf numFmtId="177" fontId="3" fillId="5" borderId="4" xfId="0" applyNumberFormat="1" applyFont="1" applyFill="1" applyBorder="1" applyAlignment="1"/>
    <xf numFmtId="178" fontId="5" fillId="0" borderId="0" xfId="0" applyNumberFormat="1" applyFont="1" applyAlignment="1"/>
    <xf numFmtId="9" fontId="5" fillId="0" borderId="0" xfId="0" applyNumberFormat="1" applyFont="1" applyAlignment="1"/>
    <xf numFmtId="10" fontId="5" fillId="0" borderId="0" xfId="0" applyNumberFormat="1" applyFont="1" applyAlignment="1"/>
    <xf numFmtId="0" fontId="6" fillId="3" borderId="0" xfId="0" applyFont="1" applyFill="1" applyBorder="1" applyAlignment="1">
      <alignment horizontal="center"/>
    </xf>
    <xf numFmtId="2" fontId="5" fillId="0" borderId="0" xfId="0" applyNumberFormat="1" applyFont="1" applyAlignment="1"/>
    <xf numFmtId="10" fontId="3" fillId="0" borderId="4" xfId="0" applyNumberFormat="1" applyFont="1" applyBorder="1" applyAlignment="1"/>
    <xf numFmtId="0" fontId="3" fillId="0" borderId="0" xfId="0" applyFont="1" applyAlignment="1">
      <alignment horizontal="center"/>
    </xf>
    <xf numFmtId="179" fontId="3" fillId="0" borderId="4" xfId="0" applyNumberFormat="1" applyFont="1" applyBorder="1" applyAlignment="1"/>
    <xf numFmtId="180" fontId="3" fillId="0" borderId="0" xfId="0" applyNumberFormat="1" applyFont="1" applyAlignment="1"/>
    <xf numFmtId="0" fontId="7" fillId="0" borderId="0" xfId="0" applyFont="1" applyBorder="1" applyAlignment="1">
      <alignment horizontal="center"/>
    </xf>
    <xf numFmtId="179" fontId="8" fillId="6" borderId="0" xfId="0" applyNumberFormat="1" applyFont="1" applyFill="1" applyAlignment="1">
      <alignment horizontal="center" vertical="top" wrapText="1"/>
    </xf>
    <xf numFmtId="0" fontId="6" fillId="7" borderId="0" xfId="0" applyFont="1" applyFill="1" applyBorder="1" applyAlignment="1">
      <alignment horizontal="center"/>
    </xf>
    <xf numFmtId="181" fontId="5" fillId="0" borderId="0" xfId="0" applyNumberFormat="1" applyFont="1" applyAlignment="1"/>
    <xf numFmtId="182" fontId="8" fillId="6" borderId="0" xfId="0" applyNumberFormat="1" applyFont="1" applyFill="1" applyAlignment="1">
      <alignment horizontal="center" vertical="top" wrapText="1"/>
    </xf>
    <xf numFmtId="183" fontId="5" fillId="0" borderId="5" xfId="0" applyNumberFormat="1" applyFont="1" applyBorder="1" applyAlignment="1"/>
    <xf numFmtId="10" fontId="5" fillId="0" borderId="5" xfId="0" applyNumberFormat="1" applyFont="1" applyBorder="1" applyAlignment="1"/>
    <xf numFmtId="0" fontId="3" fillId="8" borderId="0" xfId="0" applyFont="1" applyFill="1" applyAlignment="1"/>
    <xf numFmtId="181" fontId="3" fillId="8" borderId="0" xfId="0" applyNumberFormat="1" applyFont="1" applyFill="1" applyAlignment="1"/>
    <xf numFmtId="0" fontId="6" fillId="7" borderId="0" xfId="0" applyFont="1" applyFill="1" applyBorder="1" applyAlignment="1">
      <alignment horizontal="center" vertical="center" textRotation="90" wrapText="1"/>
    </xf>
    <xf numFmtId="181" fontId="5" fillId="0" borderId="5" xfId="0" applyNumberFormat="1" applyFont="1" applyBorder="1" applyAlignment="1"/>
    <xf numFmtId="181" fontId="5" fillId="8" borderId="5" xfId="0" applyNumberFormat="1" applyFont="1" applyFill="1" applyBorder="1" applyAlignment="1"/>
    <xf numFmtId="0" fontId="2" fillId="3" borderId="6" xfId="0" applyFont="1" applyFill="1" applyBorder="1" applyAlignment="1">
      <alignment horizontal="center"/>
    </xf>
    <xf numFmtId="0" fontId="2" fillId="3" borderId="0" xfId="0" applyFont="1" applyFill="1" applyAlignment="1">
      <alignment horizontal="center"/>
    </xf>
    <xf numFmtId="0" fontId="2" fillId="3" borderId="0" xfId="0" applyFont="1" applyFill="1" applyBorder="1" applyAlignment="1">
      <alignment horizontal="center"/>
    </xf>
    <xf numFmtId="0" fontId="2" fillId="3" borderId="0" xfId="0" applyFont="1" applyFill="1" applyAlignment="1">
      <alignment horizontal="center" wrapText="1"/>
    </xf>
    <xf numFmtId="0" fontId="2" fillId="3" borderId="0" xfId="0" applyFont="1" applyFill="1" applyBorder="1" applyAlignment="1">
      <alignment horizontal="center" wrapText="1"/>
    </xf>
    <xf numFmtId="0" fontId="3" fillId="0" borderId="0" xfId="0" applyFont="1" applyBorder="1" applyAlignment="1">
      <alignment horizontal="left" vertical="center"/>
    </xf>
    <xf numFmtId="0" fontId="3" fillId="0" borderId="0" xfId="0" applyFont="1" applyBorder="1" applyAlignment="1">
      <alignment horizontal="left" vertical="center" wrapText="1"/>
    </xf>
    <xf numFmtId="0" fontId="3" fillId="0" borderId="0" xfId="0" applyFont="1" applyBorder="1" applyAlignment="1">
      <alignment horizontal="right" vertical="center" wrapText="1"/>
    </xf>
    <xf numFmtId="0" fontId="3" fillId="0" borderId="0" xfId="0" applyFont="1" applyAlignment="1">
      <alignment horizontal="right"/>
    </xf>
    <xf numFmtId="0" fontId="9" fillId="0" borderId="0" xfId="0" applyFont="1" applyAlignment="1">
      <alignment horizontal="right"/>
    </xf>
    <xf numFmtId="0" fontId="9" fillId="0" borderId="0" xfId="0" applyFont="1" applyAlignment="1">
      <alignment horizontal="center"/>
    </xf>
    <xf numFmtId="184" fontId="10" fillId="0" borderId="0" xfId="0" applyNumberFormat="1" applyFont="1" applyAlignment="1"/>
    <xf numFmtId="2" fontId="10" fillId="0" borderId="0" xfId="0" applyNumberFormat="1" applyFont="1" applyAlignment="1"/>
    <xf numFmtId="184" fontId="5" fillId="0" borderId="0" xfId="0" applyNumberFormat="1" applyFont="1" applyAlignment="1"/>
    <xf numFmtId="185" fontId="10" fillId="0" borderId="0" xfId="0" applyNumberFormat="1" applyFont="1" applyAlignment="1"/>
    <xf numFmtId="186" fontId="11" fillId="0" borderId="0" xfId="0" applyNumberFormat="1" applyFont="1" applyAlignment="1">
      <alignment vertical="center"/>
    </xf>
    <xf numFmtId="176" fontId="3" fillId="0" borderId="0" xfId="0" applyNumberFormat="1" applyFont="1" applyAlignment="1"/>
    <xf numFmtId="0" fontId="10" fillId="0" borderId="0" xfId="0" applyFont="1" applyAlignment="1"/>
    <xf numFmtId="176" fontId="4" fillId="0" borderId="0" xfId="0" applyNumberFormat="1" applyFont="1" applyAlignment="1"/>
    <xf numFmtId="0" fontId="2" fillId="3" borderId="0" xfId="0" applyFont="1" applyFill="1" applyAlignment="1">
      <alignment horizontal="left"/>
    </xf>
    <xf numFmtId="186" fontId="12" fillId="3" borderId="0" xfId="0" applyNumberFormat="1" applyFont="1" applyFill="1" applyAlignment="1">
      <alignment vertical="center"/>
    </xf>
    <xf numFmtId="0" fontId="2" fillId="3" borderId="0" xfId="0" applyFont="1" applyFill="1" applyAlignment="1">
      <alignment horizontal="right"/>
    </xf>
    <xf numFmtId="0" fontId="2" fillId="0" borderId="0" xfId="0" applyFont="1" applyAlignment="1">
      <alignment horizontal="left"/>
    </xf>
    <xf numFmtId="0" fontId="2" fillId="0" borderId="0" xfId="0" applyFont="1" applyAlignment="1">
      <alignment horizontal="center"/>
    </xf>
    <xf numFmtId="186" fontId="5" fillId="0" borderId="0" xfId="0" applyNumberFormat="1" applyFont="1" applyAlignment="1"/>
    <xf numFmtId="187" fontId="5" fillId="0" borderId="0" xfId="0" applyNumberFormat="1" applyFont="1" applyAlignment="1"/>
    <xf numFmtId="176" fontId="10" fillId="0" borderId="0" xfId="0" applyNumberFormat="1" applyFont="1" applyAlignment="1"/>
    <xf numFmtId="0" fontId="13" fillId="0" borderId="0" xfId="0" applyFont="1" applyAlignment="1">
      <alignment vertical="center"/>
    </xf>
    <xf numFmtId="0" fontId="14" fillId="2" borderId="0" xfId="0" applyFont="1" applyFill="1" applyBorder="1" applyAlignment="1">
      <alignment horizontal="center" vertical="center" wrapText="1"/>
    </xf>
    <xf numFmtId="0" fontId="15" fillId="0" borderId="0" xfId="0" applyFont="1" applyAlignment="1"/>
    <xf numFmtId="0" fontId="16" fillId="3" borderId="0" xfId="0" applyFont="1" applyFill="1" applyAlignment="1"/>
    <xf numFmtId="0" fontId="17" fillId="3" borderId="0" xfId="0" applyFont="1" applyFill="1" applyAlignment="1"/>
    <xf numFmtId="0" fontId="16" fillId="3" borderId="0" xfId="0" applyFont="1" applyFill="1" applyAlignment="1">
      <alignment horizontal="left"/>
    </xf>
    <xf numFmtId="0" fontId="16" fillId="3" borderId="0" xfId="0" applyFont="1" applyFill="1" applyAlignment="1">
      <alignment horizontal="right"/>
    </xf>
    <xf numFmtId="0" fontId="16" fillId="3" borderId="0" xfId="0" applyFont="1" applyFill="1" applyAlignment="1">
      <alignment horizontal="center"/>
    </xf>
    <xf numFmtId="0" fontId="0" fillId="4" borderId="0" xfId="0" applyFill="1" applyAlignment="1">
      <alignment vertical="center"/>
    </xf>
    <xf numFmtId="0" fontId="11" fillId="4" borderId="0" xfId="0" applyFont="1" applyFill="1" applyAlignment="1"/>
    <xf numFmtId="0" fontId="18" fillId="4" borderId="0" xfId="0" applyFont="1" applyFill="1" applyAlignment="1">
      <alignment horizontal="left" vertical="center"/>
    </xf>
    <xf numFmtId="0" fontId="18" fillId="4" borderId="0" xfId="0" applyFont="1" applyFill="1" applyAlignment="1">
      <alignment horizontal="righ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4" fontId="13" fillId="0" borderId="0" xfId="0" applyNumberFormat="1" applyFont="1" applyAlignment="1">
      <alignment horizontal="left" vertical="center" wrapText="1"/>
    </xf>
    <xf numFmtId="4" fontId="19" fillId="0" borderId="0" xfId="0" applyNumberFormat="1" applyFont="1" applyAlignment="1">
      <alignment horizontal="right" vertical="center" wrapText="1"/>
    </xf>
    <xf numFmtId="0" fontId="19" fillId="0" borderId="0" xfId="0" applyFont="1" applyAlignment="1">
      <alignment horizontal="right" vertical="center" wrapText="1"/>
    </xf>
    <xf numFmtId="1" fontId="19" fillId="9" borderId="0" xfId="0" applyNumberFormat="1" applyFont="1" applyFill="1" applyAlignment="1">
      <alignment vertical="center"/>
    </xf>
    <xf numFmtId="179" fontId="19" fillId="9" borderId="0" xfId="0" applyNumberFormat="1" applyFont="1" applyFill="1" applyAlignment="1">
      <alignment vertical="center"/>
    </xf>
    <xf numFmtId="0" fontId="20" fillId="10" borderId="0" xfId="0" applyFont="1" applyFill="1" applyAlignment="1">
      <alignment horizontal="left" vertical="center" wrapText="1"/>
    </xf>
    <xf numFmtId="4" fontId="20" fillId="10" borderId="0" xfId="0" applyNumberFormat="1" applyFont="1" applyFill="1" applyAlignment="1">
      <alignment horizontal="left" vertical="center" wrapText="1"/>
    </xf>
    <xf numFmtId="4" fontId="21" fillId="10" borderId="0" xfId="0" applyNumberFormat="1" applyFont="1" applyFill="1" applyAlignment="1">
      <alignment horizontal="right" vertical="center" wrapText="1"/>
    </xf>
    <xf numFmtId="0" fontId="21" fillId="10" borderId="0" xfId="0" applyFont="1" applyFill="1" applyAlignment="1">
      <alignment horizontal="right" vertical="center" wrapText="1"/>
    </xf>
    <xf numFmtId="1" fontId="21" fillId="10" borderId="0" xfId="0" applyNumberFormat="1" applyFont="1" applyFill="1" applyAlignment="1"/>
    <xf numFmtId="9" fontId="21" fillId="10" borderId="0" xfId="0" applyNumberFormat="1" applyFont="1" applyFill="1" applyAlignment="1"/>
    <xf numFmtId="0" fontId="0" fillId="4" borderId="0" xfId="0" applyFill="1" applyAlignment="1">
      <alignment horizontal="right" vertical="center"/>
    </xf>
    <xf numFmtId="0" fontId="22" fillId="0" borderId="0" xfId="0" applyFont="1" applyAlignment="1">
      <alignment horizontal="left"/>
    </xf>
    <xf numFmtId="4" fontId="23" fillId="0" borderId="0" xfId="0" applyNumberFormat="1" applyFont="1" applyAlignment="1">
      <alignment horizontal="right" vertical="center" wrapText="1"/>
    </xf>
    <xf numFmtId="0" fontId="23" fillId="0" borderId="0" xfId="0" applyFont="1" applyAlignment="1">
      <alignment horizontal="right" vertical="center" wrapText="1"/>
    </xf>
    <xf numFmtId="10" fontId="23" fillId="0" borderId="0" xfId="0" applyNumberFormat="1" applyFont="1" applyAlignment="1"/>
    <xf numFmtId="1" fontId="24" fillId="4" borderId="0" xfId="0" applyNumberFormat="1" applyFont="1" applyFill="1" applyAlignment="1"/>
    <xf numFmtId="0" fontId="25" fillId="4" borderId="0" xfId="0" applyFont="1" applyFill="1" applyAlignment="1">
      <alignment horizontal="left" vertical="center"/>
    </xf>
    <xf numFmtId="0" fontId="26" fillId="4" borderId="0" xfId="0" applyFont="1" applyFill="1" applyAlignment="1">
      <alignment horizontal="left" vertical="center"/>
    </xf>
    <xf numFmtId="0" fontId="25" fillId="4" borderId="0" xfId="0" applyFont="1" applyFill="1" applyAlignment="1">
      <alignment horizontal="right" vertical="center" wrapText="1"/>
    </xf>
    <xf numFmtId="0" fontId="13" fillId="4" borderId="0" xfId="0" applyFont="1" applyFill="1" applyAlignment="1">
      <alignment vertical="center"/>
    </xf>
    <xf numFmtId="0" fontId="22" fillId="0" borderId="0" xfId="0" applyFont="1" applyAlignment="1">
      <alignment horizontal="left" vertical="center"/>
    </xf>
    <xf numFmtId="185" fontId="24" fillId="0" borderId="0" xfId="0" applyNumberFormat="1" applyFont="1" applyAlignment="1">
      <alignment horizontal="left"/>
    </xf>
    <xf numFmtId="0" fontId="27" fillId="0" borderId="0" xfId="0" applyFont="1" applyAlignment="1">
      <alignment horizontal="left"/>
    </xf>
    <xf numFmtId="0" fontId="28" fillId="0" borderId="0" xfId="0" applyFont="1" applyAlignment="1">
      <alignment horizontal="left"/>
    </xf>
    <xf numFmtId="2" fontId="23" fillId="0" borderId="0" xfId="0" applyNumberFormat="1" applyFont="1" applyAlignment="1"/>
    <xf numFmtId="1" fontId="23" fillId="0" borderId="0" xfId="0" applyNumberFormat="1" applyFont="1" applyAlignment="1"/>
    <xf numFmtId="185" fontId="23" fillId="0" borderId="0" xfId="0" applyNumberFormat="1" applyFont="1" applyAlignment="1"/>
    <xf numFmtId="0" fontId="22" fillId="0" borderId="0" xfId="0" applyFont="1" applyAlignment="1"/>
    <xf numFmtId="0" fontId="29" fillId="0" borderId="0" xfId="0" applyFont="1" applyAlignment="1"/>
    <xf numFmtId="0" fontId="28" fillId="0" borderId="0" xfId="0" applyFont="1" applyAlignment="1"/>
    <xf numFmtId="0" fontId="29" fillId="0" borderId="0" xfId="0" applyFont="1" applyAlignment="1">
      <alignment horizontal="left"/>
    </xf>
    <xf numFmtId="0" fontId="29" fillId="0" borderId="0" xfId="0" applyFont="1" applyAlignment="1">
      <alignment horizontal="right"/>
    </xf>
    <xf numFmtId="0" fontId="29" fillId="4" borderId="0" xfId="0" applyFont="1" applyFill="1" applyAlignment="1"/>
    <xf numFmtId="10" fontId="29" fillId="4" borderId="0" xfId="0" applyNumberFormat="1" applyFont="1" applyFill="1" applyAlignment="1"/>
    <xf numFmtId="185" fontId="30" fillId="0" borderId="0" xfId="0" applyNumberFormat="1" applyFont="1" applyAlignment="1"/>
    <xf numFmtId="185" fontId="31" fillId="0" borderId="0" xfId="0" applyNumberFormat="1" applyFont="1" applyAlignment="1"/>
    <xf numFmtId="0" fontId="15" fillId="0" borderId="0" xfId="0" applyFont="1" applyAlignment="1">
      <alignment horizontal="right"/>
    </xf>
    <xf numFmtId="0" fontId="15" fillId="0" borderId="0" xfId="0" applyFont="1" applyAlignment="1">
      <alignment horizontal="left"/>
    </xf>
    <xf numFmtId="0" fontId="32" fillId="0" borderId="0" xfId="0" applyFont="1" applyAlignment="1">
      <alignment horizontal="left"/>
    </xf>
    <xf numFmtId="0" fontId="33" fillId="0" borderId="0" xfId="0" applyFont="1" applyAlignment="1"/>
    <xf numFmtId="0" fontId="15" fillId="4" borderId="0" xfId="0" applyFont="1" applyFill="1" applyAlignment="1"/>
    <xf numFmtId="0" fontId="34" fillId="4" borderId="0" xfId="0" applyFont="1" applyFill="1" applyAlignment="1">
      <alignment horizontal="left" vertical="center"/>
    </xf>
    <xf numFmtId="0" fontId="0" fillId="0" borderId="0" xfId="0" applyAlignment="1">
      <alignment vertical="center" wrapText="1"/>
    </xf>
    <xf numFmtId="0" fontId="35" fillId="0" borderId="0" xfId="0" applyFont="1" applyAlignment="1">
      <alignment vertical="center" wrapText="1"/>
    </xf>
    <xf numFmtId="0" fontId="0" fillId="0" borderId="0" xfId="0" applyAlignment="1">
      <alignment vertical="center"/>
    </xf>
    <xf numFmtId="0" fontId="0" fillId="0" borderId="0" xfId="0" applyFont="1" applyAlignment="1">
      <alignment horizontal="center" vertical="center"/>
    </xf>
    <xf numFmtId="10" fontId="0" fillId="0" borderId="0" xfId="0" applyNumberFormat="1" applyAlignment="1">
      <alignment horizontal="center" vertical="center"/>
    </xf>
    <xf numFmtId="188" fontId="36" fillId="3" borderId="0" xfId="0" applyNumberFormat="1" applyFont="1" applyFill="1" applyAlignment="1">
      <alignment horizontal="center"/>
    </xf>
    <xf numFmtId="0" fontId="36" fillId="3" borderId="0" xfId="0" applyFont="1" applyFill="1" applyAlignment="1">
      <alignment horizontal="center"/>
    </xf>
    <xf numFmtId="0" fontId="0" fillId="4" borderId="0" xfId="0" applyFill="1" applyAlignment="1"/>
    <xf numFmtId="189" fontId="37" fillId="4" borderId="7" xfId="0" applyNumberFormat="1" applyFont="1" applyFill="1" applyBorder="1" applyAlignment="1">
      <alignment horizontal="left" vertical="center" indent="1"/>
    </xf>
    <xf numFmtId="4" fontId="38" fillId="0" borderId="7" xfId="0" applyNumberFormat="1" applyFont="1" applyBorder="1" applyAlignment="1">
      <alignment horizontal="right" vertical="center" indent="1"/>
    </xf>
    <xf numFmtId="0" fontId="36" fillId="4" borderId="0" xfId="0" applyFont="1" applyFill="1" applyAlignment="1">
      <alignment horizontal="center"/>
    </xf>
    <xf numFmtId="189" fontId="37" fillId="4" borderId="0" xfId="0" applyNumberFormat="1" applyFont="1" applyFill="1" applyAlignment="1">
      <alignment horizontal="left" vertical="center" indent="1"/>
    </xf>
    <xf numFmtId="10" fontId="38" fillId="0" borderId="7" xfId="0" applyNumberFormat="1" applyFont="1" applyBorder="1" applyAlignment="1">
      <alignment horizontal="right" vertical="center" indent="1"/>
    </xf>
    <xf numFmtId="4" fontId="0" fillId="0" borderId="0" xfId="0" applyNumberFormat="1" applyAlignment="1">
      <alignment vertical="center"/>
    </xf>
    <xf numFmtId="189" fontId="37" fillId="0" borderId="7" xfId="0" applyNumberFormat="1" applyFont="1" applyBorder="1" applyAlignment="1">
      <alignment horizontal="left" vertical="center" indent="1"/>
    </xf>
    <xf numFmtId="58" fontId="0" fillId="0" borderId="0" xfId="0" applyNumberFormat="1" applyAlignment="1">
      <alignment vertical="center"/>
    </xf>
    <xf numFmtId="10" fontId="0" fillId="0" borderId="0" xfId="0" applyNumberFormat="1" applyAlignment="1">
      <alignment vertical="center"/>
    </xf>
    <xf numFmtId="0" fontId="39" fillId="0" borderId="0" xfId="0" applyFont="1" applyAlignment="1"/>
    <xf numFmtId="190" fontId="40" fillId="11" borderId="8" xfId="0" applyNumberFormat="1" applyFont="1" applyFill="1" applyBorder="1" applyAlignment="1"/>
    <xf numFmtId="179" fontId="15" fillId="0" borderId="0" xfId="0" applyNumberFormat="1" applyFont="1" applyAlignment="1"/>
    <xf numFmtId="179" fontId="40" fillId="11" borderId="8" xfId="0" applyNumberFormat="1" applyFont="1" applyFill="1" applyBorder="1" applyAlignment="1"/>
    <xf numFmtId="0" fontId="41" fillId="4" borderId="0" xfId="0" applyFont="1" applyFill="1" applyAlignment="1">
      <alignment horizontal="left" vertical="center" wrapText="1"/>
    </xf>
    <xf numFmtId="0" fontId="42" fillId="4" borderId="0" xfId="0" applyFont="1" applyFill="1" applyAlignment="1">
      <alignment horizontal="right" vertical="center" wrapText="1"/>
    </xf>
    <xf numFmtId="0" fontId="43" fillId="3" borderId="7" xfId="0" applyFont="1" applyFill="1" applyBorder="1" applyAlignment="1">
      <alignment horizontal="center" vertical="center"/>
    </xf>
    <xf numFmtId="4" fontId="44" fillId="3" borderId="7" xfId="0" applyNumberFormat="1" applyFont="1" applyFill="1" applyBorder="1" applyAlignment="1">
      <alignment horizontal="right" vertical="center" indent="1"/>
    </xf>
    <xf numFmtId="10" fontId="43" fillId="3" borderId="7" xfId="0" applyNumberFormat="1" applyFont="1" applyFill="1" applyBorder="1" applyAlignment="1">
      <alignment horizontal="center" vertical="center"/>
    </xf>
    <xf numFmtId="0" fontId="42" fillId="4" borderId="0" xfId="0" applyFont="1" applyFill="1" applyAlignment="1">
      <alignment horizontal="left" vertical="center" wrapText="1"/>
    </xf>
    <xf numFmtId="4" fontId="45" fillId="4" borderId="9" xfId="0" applyNumberFormat="1" applyFont="1" applyFill="1" applyBorder="1" applyAlignment="1">
      <alignment horizontal="right" vertical="center" wrapText="1" readingOrder="1"/>
    </xf>
    <xf numFmtId="4" fontId="42" fillId="4" borderId="10" xfId="0" applyNumberFormat="1" applyFont="1" applyFill="1" applyBorder="1" applyAlignment="1">
      <alignment horizontal="right" vertical="center" wrapText="1"/>
    </xf>
    <xf numFmtId="4" fontId="42" fillId="4" borderId="11" xfId="0" applyNumberFormat="1" applyFont="1" applyFill="1" applyBorder="1" applyAlignment="1">
      <alignment horizontal="right" vertical="center" wrapText="1"/>
    </xf>
    <xf numFmtId="4" fontId="42" fillId="4" borderId="0" xfId="0" applyNumberFormat="1" applyFont="1" applyFill="1" applyAlignment="1">
      <alignment horizontal="right" vertical="center" wrapText="1"/>
    </xf>
    <xf numFmtId="10" fontId="46" fillId="4" borderId="0" xfId="0" applyNumberFormat="1" applyFont="1" applyFill="1" applyAlignment="1">
      <alignment horizontal="right" vertical="center" readingOrder="1"/>
    </xf>
    <xf numFmtId="4" fontId="47" fillId="0" borderId="7" xfId="0" applyNumberFormat="1" applyFont="1" applyBorder="1" applyAlignment="1">
      <alignment horizontal="right" vertical="center" indent="1"/>
    </xf>
    <xf numFmtId="10" fontId="48" fillId="4" borderId="7" xfId="0" applyNumberFormat="1" applyFont="1" applyFill="1" applyBorder="1" applyAlignment="1">
      <alignment horizontal="center" vertical="center"/>
    </xf>
    <xf numFmtId="0" fontId="49" fillId="0" borderId="12" xfId="0" applyFont="1" applyBorder="1" applyAlignment="1">
      <alignment horizontal="center" vertical="center"/>
    </xf>
    <xf numFmtId="177" fontId="50" fillId="0" borderId="0" xfId="0" applyNumberFormat="1" applyFont="1" applyAlignment="1"/>
    <xf numFmtId="4" fontId="42" fillId="4" borderId="13" xfId="0" applyNumberFormat="1" applyFont="1" applyFill="1" applyBorder="1" applyAlignment="1">
      <alignment horizontal="right" vertical="center" wrapText="1"/>
    </xf>
    <xf numFmtId="10" fontId="51" fillId="0" borderId="7" xfId="0" applyNumberFormat="1" applyFont="1" applyBorder="1" applyAlignment="1">
      <alignment horizontal="right" vertical="center" indent="1"/>
    </xf>
    <xf numFmtId="0" fontId="0" fillId="0" borderId="12" xfId="0" applyBorder="1" applyAlignment="1"/>
    <xf numFmtId="10" fontId="52" fillId="4" borderId="0" xfId="0" applyNumberFormat="1" applyFont="1" applyFill="1" applyAlignment="1">
      <alignment horizontal="right" vertical="center" readingOrder="1"/>
    </xf>
    <xf numFmtId="4" fontId="53" fillId="4" borderId="14" xfId="0" applyNumberFormat="1" applyFont="1" applyFill="1" applyBorder="1" applyAlignment="1">
      <alignment horizontal="right" vertical="center" wrapText="1" readingOrder="1"/>
    </xf>
    <xf numFmtId="4" fontId="42" fillId="4" borderId="15" xfId="0" applyNumberFormat="1" applyFont="1" applyFill="1" applyBorder="1" applyAlignment="1">
      <alignment horizontal="right" vertical="center" wrapText="1"/>
    </xf>
    <xf numFmtId="4" fontId="42" fillId="4" borderId="16" xfId="0" applyNumberFormat="1" applyFont="1" applyFill="1" applyBorder="1" applyAlignment="1">
      <alignment horizontal="right" vertical="center" wrapText="1"/>
    </xf>
    <xf numFmtId="4" fontId="54" fillId="4" borderId="0" xfId="0" applyNumberFormat="1" applyFont="1" applyFill="1" applyAlignment="1">
      <alignment horizontal="right" vertical="center" wrapText="1" readingOrder="1"/>
    </xf>
    <xf numFmtId="58" fontId="55" fillId="4" borderId="0" xfId="0" applyNumberFormat="1" applyFont="1" applyFill="1" applyAlignment="1">
      <alignment horizontal="left" vertical="center" wrapText="1"/>
    </xf>
    <xf numFmtId="4" fontId="55" fillId="4" borderId="0" xfId="0" applyNumberFormat="1" applyFont="1" applyFill="1" applyAlignment="1">
      <alignment horizontal="right" vertical="center" wrapText="1" readingOrder="1"/>
    </xf>
    <xf numFmtId="4" fontId="55" fillId="4" borderId="0" xfId="0" applyNumberFormat="1" applyFont="1" applyFill="1" applyAlignment="1">
      <alignment horizontal="right" vertical="center" wrapText="1"/>
    </xf>
    <xf numFmtId="0" fontId="55" fillId="4" borderId="0" xfId="0" applyFont="1" applyFill="1" applyAlignment="1">
      <alignment horizontal="right" vertical="center" wrapText="1"/>
    </xf>
    <xf numFmtId="10" fontId="56" fillId="4" borderId="0" xfId="0" applyNumberFormat="1" applyFont="1" applyFill="1" applyAlignment="1">
      <alignment horizontal="right" vertical="center" readingOrder="1"/>
    </xf>
    <xf numFmtId="58" fontId="42" fillId="4" borderId="0" xfId="0" applyNumberFormat="1" applyFont="1" applyFill="1" applyAlignment="1">
      <alignment horizontal="left" vertical="center" wrapText="1"/>
    </xf>
    <xf numFmtId="4" fontId="53" fillId="4" borderId="0" xfId="0" applyNumberFormat="1" applyFont="1" applyFill="1" applyAlignment="1">
      <alignment horizontal="right" vertical="center" wrapText="1" readingOrder="1"/>
    </xf>
    <xf numFmtId="191" fontId="0" fillId="0" borderId="0" xfId="0" applyNumberFormat="1" applyAlignment="1">
      <alignment vertical="center"/>
    </xf>
    <xf numFmtId="0" fontId="3" fillId="12" borderId="0" xfId="0" applyFont="1" applyFill="1" applyAlignment="1"/>
    <xf numFmtId="192" fontId="3" fillId="12" borderId="0" xfId="0" applyNumberFormat="1" applyFont="1" applyFill="1" applyAlignment="1"/>
    <xf numFmtId="0" fontId="3" fillId="12" borderId="0" xfId="0" applyFont="1" applyFill="1" applyAlignment="1">
      <alignment horizontal="right"/>
    </xf>
    <xf numFmtId="0" fontId="3" fillId="13" borderId="5" xfId="0" applyFont="1" applyFill="1" applyBorder="1" applyAlignment="1"/>
    <xf numFmtId="2" fontId="3" fillId="0" borderId="17" xfId="0" applyNumberFormat="1" applyFont="1" applyBorder="1" applyAlignment="1"/>
    <xf numFmtId="10" fontId="51" fillId="0" borderId="0" xfId="0" applyNumberFormat="1" applyFont="1" applyAlignment="1">
      <alignment horizontal="right" vertical="center" indent="1"/>
    </xf>
    <xf numFmtId="0" fontId="4" fillId="0" borderId="0" xfId="0" applyFont="1" applyAlignment="1">
      <alignment wrapText="1"/>
    </xf>
    <xf numFmtId="0" fontId="4" fillId="0" borderId="0" xfId="0" applyFont="1" applyBorder="1" applyAlignment="1">
      <alignment horizontal="center" wrapText="1"/>
    </xf>
    <xf numFmtId="0" fontId="2" fillId="3" borderId="2" xfId="0" applyFont="1" applyFill="1" applyBorder="1" applyAlignment="1">
      <alignment horizont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xf>
    <xf numFmtId="0" fontId="4" fillId="5" borderId="0" xfId="0" applyFont="1" applyFill="1" applyAlignment="1">
      <alignment horizontal="center"/>
    </xf>
    <xf numFmtId="0" fontId="57" fillId="0" borderId="0" xfId="0" applyFont="1" applyAlignment="1"/>
    <xf numFmtId="193" fontId="58" fillId="0" borderId="0" xfId="0" applyNumberFormat="1" applyFont="1" applyAlignment="1"/>
    <xf numFmtId="0" fontId="59" fillId="0" borderId="0" xfId="0" applyFont="1" applyAlignment="1"/>
    <xf numFmtId="179" fontId="0" fillId="0" borderId="0" xfId="0" applyNumberFormat="1" applyAlignment="1"/>
    <xf numFmtId="0" fontId="60" fillId="0" borderId="0" xfId="0" applyFont="1" applyAlignment="1"/>
    <xf numFmtId="193" fontId="0" fillId="0" borderId="0" xfId="0" applyNumberFormat="1" applyAlignment="1"/>
    <xf numFmtId="191" fontId="0" fillId="0" borderId="0" xfId="0" applyNumberFormat="1" applyAlignment="1"/>
    <xf numFmtId="0" fontId="2" fillId="3" borderId="5" xfId="0" applyFont="1" applyFill="1" applyBorder="1" applyAlignment="1">
      <alignment horizontal="left" vertical="center" wrapText="1"/>
    </xf>
    <xf numFmtId="0" fontId="3" fillId="0" borderId="18" xfId="0" applyFont="1" applyBorder="1" applyAlignment="1">
      <alignment horizontal="center" vertical="center" wrapText="1"/>
    </xf>
    <xf numFmtId="0" fontId="9" fillId="5" borderId="0" xfId="0" applyFont="1" applyFill="1" applyAlignment="1">
      <alignment horizontal="center" vertical="center"/>
    </xf>
    <xf numFmtId="0" fontId="3" fillId="0" borderId="19" xfId="0" applyFont="1" applyBorder="1" applyAlignment="1">
      <alignment horizontal="center" vertical="center" wrapText="1"/>
    </xf>
    <xf numFmtId="0" fontId="9" fillId="5" borderId="2" xfId="0" applyFont="1" applyFill="1" applyBorder="1" applyAlignment="1">
      <alignment horizontal="center" vertical="center"/>
    </xf>
    <xf numFmtId="0" fontId="0" fillId="0" borderId="20" xfId="0" applyBorder="1" applyAlignment="1"/>
    <xf numFmtId="0" fontId="0" fillId="5" borderId="0" xfId="0" applyFill="1" applyAlignment="1"/>
    <xf numFmtId="0" fontId="5" fillId="0" borderId="0" xfId="0" applyFont="1" applyAlignment="1">
      <alignment vertical="center"/>
    </xf>
    <xf numFmtId="0" fontId="3" fillId="0" borderId="18" xfId="0" applyFont="1" applyBorder="1" applyAlignment="1">
      <alignment vertical="center"/>
    </xf>
    <xf numFmtId="0" fontId="3" fillId="0" borderId="0" xfId="0" applyFont="1" applyAlignment="1">
      <alignment vertical="center"/>
    </xf>
    <xf numFmtId="0" fontId="3" fillId="5" borderId="0" xfId="0" applyFont="1" applyFill="1" applyAlignment="1"/>
    <xf numFmtId="0" fontId="5" fillId="0" borderId="18" xfId="0" applyFont="1" applyBorder="1" applyAlignment="1">
      <alignment vertical="center"/>
    </xf>
    <xf numFmtId="179" fontId="5" fillId="0" borderId="0" xfId="0" applyNumberFormat="1" applyFont="1" applyAlignment="1">
      <alignment vertical="center"/>
    </xf>
    <xf numFmtId="179" fontId="5" fillId="14" borderId="0" xfId="0" applyNumberFormat="1" applyFont="1" applyFill="1" applyAlignment="1">
      <alignment vertical="center"/>
    </xf>
    <xf numFmtId="9" fontId="3" fillId="14" borderId="0" xfId="0" applyNumberFormat="1" applyFont="1" applyFill="1" applyAlignment="1">
      <alignment horizontal="center"/>
    </xf>
    <xf numFmtId="0" fontId="61" fillId="0" borderId="5" xfId="0" applyFont="1" applyBorder="1" applyAlignment="1">
      <alignment horizontal="left" vertical="center" wrapText="1"/>
    </xf>
    <xf numFmtId="0" fontId="5" fillId="14" borderId="0" xfId="0" applyFont="1" applyFill="1" applyAlignment="1">
      <alignment vertical="center"/>
    </xf>
    <xf numFmtId="0" fontId="5" fillId="0" borderId="5" xfId="0" applyFont="1" applyBorder="1" applyAlignment="1">
      <alignment vertical="center"/>
    </xf>
    <xf numFmtId="0" fontId="3" fillId="14" borderId="0" xfId="0" applyFont="1" applyFill="1" applyAlignment="1">
      <alignment vertical="center"/>
    </xf>
    <xf numFmtId="0" fontId="3" fillId="0" borderId="5" xfId="0" applyFont="1" applyBorder="1" applyAlignment="1">
      <alignment vertical="center"/>
    </xf>
    <xf numFmtId="194" fontId="5" fillId="0" borderId="0" xfId="0" applyNumberFormat="1" applyFont="1" applyAlignment="1">
      <alignment vertical="center"/>
    </xf>
    <xf numFmtId="194" fontId="5" fillId="14" borderId="0" xfId="0" applyNumberFormat="1" applyFont="1" applyFill="1" applyAlignment="1">
      <alignment vertical="center"/>
    </xf>
    <xf numFmtId="179" fontId="5" fillId="15" borderId="0" xfId="0" applyNumberFormat="1" applyFont="1" applyFill="1" applyAlignment="1">
      <alignment vertical="center"/>
    </xf>
    <xf numFmtId="0" fontId="5" fillId="0" borderId="5" xfId="0" applyFont="1" applyBorder="1" applyAlignment="1">
      <alignment vertical="center" wrapText="1"/>
    </xf>
    <xf numFmtId="182" fontId="5" fillId="16" borderId="0" xfId="0" applyNumberFormat="1" applyFont="1" applyFill="1" applyAlignment="1">
      <alignment vertical="center"/>
    </xf>
    <xf numFmtId="182" fontId="5" fillId="0" borderId="0" xfId="0" applyNumberFormat="1" applyFont="1" applyAlignment="1">
      <alignment vertical="center"/>
    </xf>
    <xf numFmtId="182" fontId="5" fillId="14" borderId="0" xfId="0" applyNumberFormat="1" applyFont="1" applyFill="1" applyAlignment="1">
      <alignment vertical="center"/>
    </xf>
    <xf numFmtId="0" fontId="62" fillId="0" borderId="0" xfId="0" applyFont="1" applyBorder="1" applyAlignment="1">
      <alignment horizontal="center" vertical="center"/>
    </xf>
    <xf numFmtId="0" fontId="63" fillId="0" borderId="0" xfId="0" applyFont="1" applyBorder="1" applyAlignment="1"/>
    <xf numFmtId="0" fontId="64" fillId="0" borderId="0" xfId="0" applyFont="1" applyBorder="1" applyAlignment="1">
      <alignment horizontal="left" vertical="top" wrapText="1"/>
    </xf>
    <xf numFmtId="0" fontId="65" fillId="17" borderId="0" xfId="0" applyFont="1" applyFill="1" applyBorder="1" applyAlignment="1">
      <alignment horizontal="center" vertical="center" wrapText="1"/>
    </xf>
    <xf numFmtId="0" fontId="66" fillId="0" borderId="0" xfId="0" applyFont="1" applyAlignment="1">
      <alignment horizontal="left" vertical="center"/>
    </xf>
    <xf numFmtId="0" fontId="67" fillId="18" borderId="0" xfId="0" applyFont="1" applyFill="1" applyAlignment="1"/>
    <xf numFmtId="0" fontId="68" fillId="0" borderId="0" xfId="0" applyFont="1" applyAlignment="1">
      <alignment horizontal="right"/>
    </xf>
    <xf numFmtId="0" fontId="69" fillId="0" borderId="0" xfId="0" applyFont="1" applyAlignment="1">
      <alignment horizontal="right"/>
    </xf>
    <xf numFmtId="0" fontId="70" fillId="0" borderId="0" xfId="0" applyFont="1" applyAlignment="1"/>
    <xf numFmtId="3" fontId="0" fillId="0" borderId="0" xfId="0" applyNumberFormat="1" applyAlignment="1"/>
    <xf numFmtId="195" fontId="0" fillId="0" borderId="0" xfId="0" applyNumberFormat="1" applyAlignment="1"/>
    <xf numFmtId="0" fontId="67" fillId="4" borderId="0" xfId="0" applyFont="1" applyFill="1" applyAlignment="1"/>
    <xf numFmtId="0" fontId="71" fillId="18" borderId="0" xfId="0" applyFont="1" applyFill="1" applyAlignment="1"/>
    <xf numFmtId="0" fontId="72" fillId="18" borderId="0" xfId="0" applyFont="1" applyFill="1" applyAlignment="1"/>
    <xf numFmtId="0" fontId="71" fillId="18" borderId="0" xfId="0" applyFont="1" applyFill="1" applyAlignment="1">
      <alignment horizontal="center"/>
    </xf>
    <xf numFmtId="0" fontId="73" fillId="0" borderId="0" xfId="0" applyFont="1" applyBorder="1" applyAlignment="1">
      <alignment horizontal="center" vertical="center"/>
    </xf>
    <xf numFmtId="0" fontId="74" fillId="0" borderId="0" xfId="0" applyFont="1" applyAlignment="1"/>
    <xf numFmtId="196" fontId="73" fillId="0" borderId="0" xfId="0" applyNumberFormat="1" applyFont="1" applyAlignment="1">
      <alignment vertical="center"/>
    </xf>
    <xf numFmtId="3" fontId="74" fillId="0" borderId="0" xfId="0" applyNumberFormat="1" applyFont="1" applyAlignment="1"/>
    <xf numFmtId="0" fontId="75" fillId="0" borderId="0" xfId="0" applyFont="1" applyBorder="1" applyAlignment="1">
      <alignment horizontal="center" vertical="top" wrapText="1"/>
    </xf>
    <xf numFmtId="58" fontId="73" fillId="0" borderId="0" xfId="0" applyNumberFormat="1" applyFont="1" applyAlignment="1">
      <alignment vertical="center"/>
    </xf>
    <xf numFmtId="196" fontId="0" fillId="0" borderId="0" xfId="0" applyNumberFormat="1" applyAlignment="1"/>
    <xf numFmtId="0" fontId="76" fillId="0" borderId="0" xfId="0" applyFont="1" applyAlignment="1">
      <alignment vertical="center"/>
    </xf>
    <xf numFmtId="0" fontId="2" fillId="3" borderId="5" xfId="0" applyFont="1" applyFill="1" applyBorder="1" applyAlignment="1">
      <alignment horizontal="center" wrapText="1"/>
    </xf>
    <xf numFmtId="0" fontId="4" fillId="19" borderId="2" xfId="0" applyFont="1" applyFill="1" applyBorder="1" applyAlignment="1">
      <alignment horizontal="center"/>
    </xf>
    <xf numFmtId="0" fontId="0" fillId="0" borderId="6" xfId="0" applyFont="1" applyBorder="1" applyAlignment="1">
      <alignment vertical="center" wrapText="1"/>
    </xf>
    <xf numFmtId="177" fontId="77" fillId="0" borderId="3" xfId="0" applyNumberFormat="1" applyFont="1" applyBorder="1" applyAlignment="1"/>
    <xf numFmtId="177" fontId="77" fillId="0" borderId="20" xfId="0" applyNumberFormat="1" applyFont="1" applyBorder="1" applyAlignment="1"/>
    <xf numFmtId="177" fontId="5" fillId="0" borderId="20" xfId="0" applyNumberFormat="1" applyFont="1" applyBorder="1" applyAlignment="1">
      <alignment horizontal="right"/>
    </xf>
    <xf numFmtId="0" fontId="35" fillId="0" borderId="1" xfId="0" applyFont="1" applyBorder="1" applyAlignment="1">
      <alignment vertical="center" wrapText="1"/>
    </xf>
    <xf numFmtId="177" fontId="77" fillId="0" borderId="0" xfId="0" applyNumberFormat="1" applyFont="1" applyAlignment="1"/>
    <xf numFmtId="177" fontId="77" fillId="0" borderId="18" xfId="0" applyNumberFormat="1" applyFont="1" applyBorder="1" applyAlignment="1"/>
    <xf numFmtId="0" fontId="0" fillId="10" borderId="0" xfId="0" applyFill="1" applyAlignment="1">
      <alignment horizontal="right" vertical="center"/>
    </xf>
    <xf numFmtId="0" fontId="0" fillId="0" borderId="1" xfId="0" applyFont="1" applyBorder="1" applyAlignment="1">
      <alignment vertical="center" wrapText="1"/>
    </xf>
    <xf numFmtId="177" fontId="5" fillId="0" borderId="18" xfId="0" applyNumberFormat="1" applyFont="1" applyBorder="1" applyAlignment="1">
      <alignment horizontal="right"/>
    </xf>
    <xf numFmtId="177" fontId="3" fillId="0" borderId="0" xfId="0" applyNumberFormat="1" applyFont="1" applyAlignment="1"/>
    <xf numFmtId="177" fontId="3" fillId="0" borderId="18" xfId="0" applyNumberFormat="1" applyFont="1" applyBorder="1" applyAlignment="1"/>
    <xf numFmtId="177" fontId="3" fillId="0" borderId="18" xfId="0" applyNumberFormat="1" applyFont="1" applyBorder="1" applyAlignment="1">
      <alignment horizontal="right"/>
    </xf>
    <xf numFmtId="0" fontId="35" fillId="0" borderId="6" xfId="0" applyFont="1" applyBorder="1" applyAlignment="1">
      <alignment vertical="center" wrapText="1"/>
    </xf>
    <xf numFmtId="177" fontId="3" fillId="0" borderId="3" xfId="0" applyNumberFormat="1" applyFont="1" applyBorder="1" applyAlignment="1"/>
    <xf numFmtId="177" fontId="3" fillId="0" borderId="20" xfId="0" applyNumberFormat="1" applyFont="1" applyBorder="1" applyAlignment="1"/>
    <xf numFmtId="177" fontId="3" fillId="0" borderId="20" xfId="0" applyNumberFormat="1" applyFont="1" applyBorder="1" applyAlignment="1">
      <alignment horizontal="right"/>
    </xf>
    <xf numFmtId="0" fontId="0" fillId="0" borderId="1" xfId="0" applyBorder="1" applyAlignment="1">
      <alignment vertical="center"/>
    </xf>
    <xf numFmtId="0" fontId="78" fillId="0" borderId="1" xfId="0" applyFont="1" applyBorder="1" applyAlignment="1">
      <alignment vertical="center"/>
    </xf>
    <xf numFmtId="177" fontId="79" fillId="0" borderId="18" xfId="0" applyNumberFormat="1" applyFont="1" applyBorder="1" applyAlignment="1">
      <alignment horizontal="right"/>
    </xf>
    <xf numFmtId="177" fontId="63" fillId="0" borderId="3" xfId="0" applyNumberFormat="1" applyFont="1" applyBorder="1" applyAlignment="1"/>
    <xf numFmtId="177" fontId="63" fillId="0" borderId="20" xfId="0" applyNumberFormat="1" applyFont="1" applyBorder="1" applyAlignment="1"/>
    <xf numFmtId="177" fontId="5" fillId="0" borderId="0" xfId="0" applyNumberFormat="1" applyFont="1" applyAlignment="1">
      <alignment horizontal="right"/>
    </xf>
    <xf numFmtId="177" fontId="5" fillId="0" borderId="21" xfId="0" applyNumberFormat="1" applyFont="1" applyBorder="1" applyAlignment="1">
      <alignment horizontal="right"/>
    </xf>
    <xf numFmtId="177" fontId="3" fillId="0" borderId="3" xfId="0" applyNumberFormat="1" applyFont="1" applyBorder="1" applyAlignment="1">
      <alignment horizontal="right"/>
    </xf>
    <xf numFmtId="177" fontId="3" fillId="0" borderId="6" xfId="0" applyNumberFormat="1" applyFont="1" applyBorder="1" applyAlignment="1">
      <alignment horizontal="right"/>
    </xf>
    <xf numFmtId="177" fontId="3" fillId="0" borderId="22" xfId="0" applyNumberFormat="1" applyFont="1" applyBorder="1" applyAlignment="1">
      <alignment horizontal="right"/>
    </xf>
    <xf numFmtId="0" fontId="0" fillId="0" borderId="0" xfId="0" applyAlignment="1">
      <alignment horizontal="right" vertical="center"/>
    </xf>
    <xf numFmtId="0" fontId="0" fillId="0" borderId="1" xfId="0" applyBorder="1" applyAlignment="1">
      <alignment horizontal="right" vertical="center"/>
    </xf>
    <xf numFmtId="0" fontId="0" fillId="0" borderId="21" xfId="0" applyBorder="1" applyAlignment="1">
      <alignment horizontal="right" vertical="center"/>
    </xf>
    <xf numFmtId="0" fontId="35" fillId="0" borderId="6" xfId="0" applyFont="1" applyBorder="1" applyAlignment="1"/>
    <xf numFmtId="0" fontId="3" fillId="0" borderId="1" xfId="0" applyFont="1" applyBorder="1" applyAlignment="1"/>
    <xf numFmtId="177" fontId="63" fillId="0" borderId="0" xfId="0" applyNumberFormat="1" applyFont="1" applyAlignment="1"/>
    <xf numFmtId="177" fontId="3" fillId="0" borderId="1" xfId="0" applyNumberFormat="1" applyFont="1" applyBorder="1" applyAlignment="1">
      <alignment horizontal="right"/>
    </xf>
    <xf numFmtId="177" fontId="3" fillId="0" borderId="21" xfId="0" applyNumberFormat="1" applyFont="1" applyBorder="1" applyAlignment="1">
      <alignment horizontal="right"/>
    </xf>
    <xf numFmtId="177" fontId="3" fillId="0" borderId="0" xfId="0" applyNumberFormat="1" applyFont="1" applyAlignment="1">
      <alignment horizontal="right"/>
    </xf>
    <xf numFmtId="0" fontId="0" fillId="0" borderId="23" xfId="0" applyBorder="1" applyAlignment="1">
      <alignment vertical="center"/>
    </xf>
    <xf numFmtId="177" fontId="63" fillId="0" borderId="2" xfId="0" applyNumberFormat="1" applyFont="1" applyBorder="1" applyAlignment="1"/>
    <xf numFmtId="0" fontId="0" fillId="0" borderId="23" xfId="0" applyBorder="1" applyAlignment="1">
      <alignment horizontal="right" vertical="center"/>
    </xf>
    <xf numFmtId="0" fontId="0" fillId="0" borderId="24" xfId="0" applyBorder="1" applyAlignment="1">
      <alignment horizontal="right" vertical="center"/>
    </xf>
    <xf numFmtId="0" fontId="0" fillId="0" borderId="2" xfId="0" applyBorder="1" applyAlignment="1">
      <alignment horizontal="right" vertical="center"/>
    </xf>
    <xf numFmtId="0" fontId="80" fillId="0" borderId="0" xfId="0" applyFont="1" applyAlignment="1"/>
    <xf numFmtId="0" fontId="81" fillId="0" borderId="0" xfId="0" applyFont="1" applyAlignment="1"/>
    <xf numFmtId="0" fontId="0" fillId="0" borderId="0" xfId="0" applyAlignment="1">
      <alignment horizontal="center"/>
    </xf>
    <xf numFmtId="0" fontId="1" fillId="2" borderId="0" xfId="0" applyFont="1" applyFill="1" applyAlignment="1">
      <alignment horizontal="center" vertical="center" wrapText="1"/>
    </xf>
    <xf numFmtId="0" fontId="76" fillId="0" borderId="0" xfId="0" applyFont="1" applyAlignment="1">
      <alignment horizontal="center" vertical="center"/>
    </xf>
    <xf numFmtId="0" fontId="35" fillId="0" borderId="0" xfId="0" applyFont="1" applyAlignment="1">
      <alignment vertical="center"/>
    </xf>
    <xf numFmtId="0" fontId="0" fillId="19" borderId="0" xfId="0" applyFill="1" applyAlignment="1">
      <alignment horizontal="center" vertical="center"/>
    </xf>
    <xf numFmtId="0" fontId="82" fillId="0" borderId="0" xfId="0" applyFont="1" applyAlignment="1">
      <alignment vertical="center"/>
    </xf>
    <xf numFmtId="193" fontId="0" fillId="0" borderId="0" xfId="0" applyNumberFormat="1" applyAlignment="1">
      <alignment horizontal="center" vertical="center"/>
    </xf>
    <xf numFmtId="197" fontId="0" fillId="5" borderId="0" xfId="0" applyNumberFormat="1" applyFill="1" applyAlignment="1">
      <alignment vertical="center"/>
    </xf>
    <xf numFmtId="0" fontId="83" fillId="0" borderId="0" xfId="0" applyFont="1" applyAlignment="1">
      <alignment vertical="center"/>
    </xf>
    <xf numFmtId="193" fontId="35" fillId="0" borderId="3" xfId="0" applyNumberFormat="1" applyFont="1" applyBorder="1" applyAlignment="1">
      <alignment horizontal="center" vertical="center"/>
    </xf>
    <xf numFmtId="197" fontId="35" fillId="5" borderId="3" xfId="0" applyNumberFormat="1" applyFont="1" applyFill="1" applyBorder="1" applyAlignment="1">
      <alignment vertical="center"/>
    </xf>
    <xf numFmtId="197" fontId="0" fillId="14" borderId="0" xfId="0" applyNumberFormat="1" applyFill="1" applyAlignment="1">
      <alignment vertical="center"/>
    </xf>
    <xf numFmtId="0" fontId="0" fillId="20" borderId="0" xfId="0" applyFill="1" applyAlignment="1"/>
    <xf numFmtId="0" fontId="0" fillId="20" borderId="0" xfId="0" applyFill="1" applyAlignment="1">
      <alignment vertical="center"/>
    </xf>
    <xf numFmtId="193" fontId="0" fillId="20" borderId="0" xfId="0" applyNumberFormat="1" applyFill="1" applyAlignment="1">
      <alignment horizontal="center" vertical="center"/>
    </xf>
    <xf numFmtId="197" fontId="0" fillId="21" borderId="0" xfId="0" applyNumberFormat="1" applyFill="1" applyAlignment="1">
      <alignment vertical="center"/>
    </xf>
    <xf numFmtId="193" fontId="35" fillId="0" borderId="0" xfId="0" applyNumberFormat="1" applyFont="1" applyAlignment="1">
      <alignment horizontal="center" vertical="center"/>
    </xf>
    <xf numFmtId="197" fontId="35" fillId="5" borderId="0" xfId="0" applyNumberFormat="1" applyFont="1" applyFill="1" applyAlignment="1">
      <alignment vertical="center"/>
    </xf>
    <xf numFmtId="193" fontId="35" fillId="0" borderId="4" xfId="0" applyNumberFormat="1" applyFont="1" applyBorder="1" applyAlignment="1">
      <alignment horizontal="center" vertical="center"/>
    </xf>
    <xf numFmtId="197" fontId="35" fillId="5" borderId="4" xfId="0" applyNumberFormat="1" applyFont="1" applyFill="1" applyBorder="1" applyAlignment="1">
      <alignment vertical="center"/>
    </xf>
    <xf numFmtId="0" fontId="84" fillId="0" borderId="0" xfId="0" applyFont="1" applyAlignment="1">
      <alignment vertical="center"/>
    </xf>
    <xf numFmtId="197" fontId="0" fillId="5" borderId="3" xfId="0" applyNumberFormat="1" applyFill="1" applyBorder="1" applyAlignment="1">
      <alignment vertical="center"/>
    </xf>
    <xf numFmtId="0" fontId="35" fillId="0" borderId="3" xfId="0" applyFont="1" applyBorder="1" applyAlignment="1">
      <alignment vertical="center"/>
    </xf>
    <xf numFmtId="193" fontId="0" fillId="0" borderId="4" xfId="0" applyNumberFormat="1" applyBorder="1" applyAlignment="1">
      <alignment horizontal="center" vertical="center"/>
    </xf>
    <xf numFmtId="197" fontId="0" fillId="5" borderId="4" xfId="0" applyNumberFormat="1" applyFill="1" applyBorder="1" applyAlignment="1">
      <alignment vertical="center"/>
    </xf>
    <xf numFmtId="0" fontId="85" fillId="0" borderId="0" xfId="0" applyFont="1" applyAlignment="1">
      <alignment horizontal="center"/>
    </xf>
    <xf numFmtId="0" fontId="0" fillId="0" borderId="0" xfId="0" applyAlignment="1">
      <alignment horizontal="center" vertical="center"/>
    </xf>
    <xf numFmtId="181" fontId="0" fillId="5" borderId="0" xfId="0" applyNumberFormat="1" applyFill="1" applyAlignment="1">
      <alignment vertical="center"/>
    </xf>
    <xf numFmtId="193" fontId="0" fillId="0" borderId="0" xfId="0" applyNumberFormat="1" applyAlignment="1">
      <alignment horizontal="center"/>
    </xf>
    <xf numFmtId="0" fontId="0" fillId="5" borderId="0" xfId="0" applyFill="1" applyAlignment="1">
      <alignment vertical="center"/>
    </xf>
    <xf numFmtId="193" fontId="35" fillId="5" borderId="0" xfId="0" applyNumberFormat="1" applyFont="1" applyFill="1" applyAlignment="1">
      <alignment horizontal="center" vertical="center"/>
    </xf>
    <xf numFmtId="176" fontId="0" fillId="5" borderId="0" xfId="0" applyNumberFormat="1" applyFill="1" applyAlignment="1">
      <alignment vertical="center"/>
    </xf>
    <xf numFmtId="193" fontId="35" fillId="0" borderId="0" xfId="0" applyNumberFormat="1" applyFont="1" applyAlignment="1">
      <alignment horizontal="center"/>
    </xf>
    <xf numFmtId="193" fontId="35" fillId="5" borderId="0" xfId="0" applyNumberFormat="1" applyFont="1" applyFill="1" applyAlignment="1">
      <alignment horizontal="center"/>
    </xf>
    <xf numFmtId="198" fontId="0" fillId="5" borderId="0" xfId="0" applyNumberFormat="1" applyFill="1" applyAlignment="1">
      <alignment vertical="center"/>
    </xf>
    <xf numFmtId="177" fontId="0" fillId="5" borderId="0" xfId="0" applyNumberFormat="1" applyFill="1" applyAlignment="1">
      <alignment vertical="center"/>
    </xf>
    <xf numFmtId="0" fontId="86" fillId="5" borderId="0" xfId="0" applyFont="1" applyFill="1" applyAlignment="1">
      <alignment vertical="center"/>
    </xf>
    <xf numFmtId="0" fontId="76" fillId="5" borderId="0" xfId="0" applyFont="1" applyFill="1" applyAlignment="1">
      <alignment vertical="center"/>
    </xf>
    <xf numFmtId="0" fontId="76" fillId="5" borderId="0" xfId="0" applyFont="1" applyFill="1" applyAlignment="1"/>
    <xf numFmtId="0" fontId="35" fillId="0" borderId="0" xfId="0" applyFont="1" applyAlignment="1"/>
    <xf numFmtId="0" fontId="0" fillId="0" borderId="2" xfId="0" applyBorder="1" applyAlignment="1"/>
    <xf numFmtId="0" fontId="0" fillId="0" borderId="2" xfId="0" applyBorder="1" applyAlignment="1">
      <alignment horizontal="center"/>
    </xf>
    <xf numFmtId="0" fontId="0" fillId="5" borderId="2" xfId="0" applyFill="1" applyBorder="1" applyAlignment="1"/>
    <xf numFmtId="0" fontId="60" fillId="0" borderId="18" xfId="0" applyFont="1" applyBorder="1" applyAlignment="1">
      <alignment horizontal="left" wrapText="1"/>
    </xf>
    <xf numFmtId="191" fontId="0" fillId="0" borderId="0" xfId="0" applyNumberFormat="1" applyAlignment="1">
      <alignment horizontal="center"/>
    </xf>
    <xf numFmtId="191" fontId="0" fillId="5" borderId="0" xfId="0" applyNumberFormat="1" applyFill="1" applyAlignment="1">
      <alignment horizontal="center"/>
    </xf>
    <xf numFmtId="0" fontId="57" fillId="0" borderId="18" xfId="0" applyFont="1" applyBorder="1" applyAlignment="1">
      <alignment wrapText="1"/>
    </xf>
    <xf numFmtId="176" fontId="60" fillId="0" borderId="18" xfId="0" applyNumberFormat="1" applyFont="1" applyBorder="1" applyAlignment="1">
      <alignment wrapText="1"/>
    </xf>
    <xf numFmtId="3" fontId="0" fillId="0" borderId="0" xfId="0" applyNumberFormat="1" applyAlignment="1">
      <alignment horizontal="center"/>
    </xf>
    <xf numFmtId="191" fontId="0" fillId="5" borderId="0" xfId="0" applyNumberFormat="1" applyFill="1" applyAlignment="1"/>
    <xf numFmtId="0" fontId="59" fillId="0" borderId="18" xfId="0" applyFont="1" applyBorder="1" applyAlignment="1">
      <alignment horizontal="right" wrapText="1"/>
    </xf>
    <xf numFmtId="9" fontId="87" fillId="0" borderId="0" xfId="0" applyNumberFormat="1" applyFont="1" applyAlignment="1">
      <alignment horizontal="center"/>
    </xf>
    <xf numFmtId="9" fontId="87" fillId="5" borderId="0" xfId="0" applyNumberFormat="1" applyFont="1" applyFill="1" applyAlignment="1"/>
    <xf numFmtId="0" fontId="2" fillId="3" borderId="5" xfId="0" applyFont="1" applyFill="1" applyBorder="1" applyAlignment="1">
      <alignment horizontal="center"/>
    </xf>
    <xf numFmtId="0" fontId="3" fillId="0" borderId="19" xfId="0" applyFont="1" applyBorder="1" applyAlignment="1">
      <alignment horizontal="center" vertical="center"/>
    </xf>
    <xf numFmtId="0" fontId="9" fillId="5" borderId="0" xfId="0" applyFont="1" applyFill="1" applyAlignment="1">
      <alignment horizontal="center"/>
    </xf>
    <xf numFmtId="0" fontId="5" fillId="0" borderId="18" xfId="0" applyFont="1" applyBorder="1" applyAlignment="1"/>
    <xf numFmtId="9" fontId="88" fillId="0" borderId="0" xfId="0" applyNumberFormat="1" applyFont="1" applyAlignment="1"/>
    <xf numFmtId="9" fontId="4" fillId="22" borderId="25" xfId="0" applyNumberFormat="1" applyFont="1" applyFill="1" applyBorder="1" applyAlignment="1"/>
    <xf numFmtId="191" fontId="10" fillId="0" borderId="1" xfId="0" applyNumberFormat="1" applyFont="1" applyBorder="1" applyAlignment="1"/>
    <xf numFmtId="191" fontId="10" fillId="0" borderId="0" xfId="0" applyNumberFormat="1" applyFont="1" applyAlignment="1"/>
    <xf numFmtId="182" fontId="4" fillId="22" borderId="0" xfId="0" applyNumberFormat="1" applyFont="1" applyFill="1" applyAlignment="1"/>
    <xf numFmtId="10" fontId="88" fillId="0" borderId="0" xfId="0" applyNumberFormat="1" applyFont="1" applyAlignment="1"/>
    <xf numFmtId="10" fontId="4" fillId="22" borderId="0" xfId="0" applyNumberFormat="1" applyFont="1" applyFill="1" applyAlignment="1"/>
    <xf numFmtId="9" fontId="10" fillId="0" borderId="0" xfId="0" applyNumberFormat="1" applyFont="1" applyAlignment="1"/>
    <xf numFmtId="0" fontId="3" fillId="0" borderId="18" xfId="0" applyFont="1" applyBorder="1" applyAlignment="1"/>
    <xf numFmtId="0" fontId="3" fillId="0" borderId="26" xfId="0" applyFont="1" applyBorder="1" applyAlignment="1">
      <alignment horizontal="center" vertical="center" wrapText="1"/>
    </xf>
    <xf numFmtId="0" fontId="7" fillId="0" borderId="18" xfId="0" applyFont="1" applyBorder="1" applyAlignment="1">
      <alignment horizontal="center"/>
    </xf>
    <xf numFmtId="0" fontId="7" fillId="0" borderId="0" xfId="0" applyFont="1" applyAlignment="1">
      <alignment horizontal="center"/>
    </xf>
    <xf numFmtId="0" fontId="3" fillId="0" borderId="0" xfId="0" applyFont="1" applyAlignment="1">
      <alignment horizontal="left"/>
    </xf>
    <xf numFmtId="0" fontId="3" fillId="0" borderId="18" xfId="0" applyFont="1" applyBorder="1" applyAlignment="1">
      <alignment horizontal="center"/>
    </xf>
    <xf numFmtId="0" fontId="5" fillId="0" borderId="0" xfId="0" applyFont="1" applyAlignment="1">
      <alignment horizontal="left"/>
    </xf>
    <xf numFmtId="3" fontId="10" fillId="0" borderId="0" xfId="0" applyNumberFormat="1" applyFont="1" applyAlignment="1">
      <alignment horizontal="left"/>
    </xf>
    <xf numFmtId="10" fontId="4" fillId="22" borderId="25" xfId="0" applyNumberFormat="1" applyFont="1" applyFill="1" applyBorder="1" applyAlignment="1"/>
    <xf numFmtId="10" fontId="4" fillId="0" borderId="0" xfId="0" applyNumberFormat="1" applyFont="1" applyAlignment="1"/>
    <xf numFmtId="9" fontId="4" fillId="0" borderId="0" xfId="0" applyNumberFormat="1" applyFont="1" applyAlignment="1"/>
    <xf numFmtId="0" fontId="3" fillId="0" borderId="18" xfId="0" applyFont="1" applyBorder="1" applyAlignment="1">
      <alignment horizontal="left"/>
    </xf>
    <xf numFmtId="0" fontId="4" fillId="0" borderId="18" xfId="0" applyFont="1" applyBorder="1" applyAlignment="1">
      <alignment horizontal="right"/>
    </xf>
    <xf numFmtId="0" fontId="5" fillId="0" borderId="18" xfId="0" applyFont="1" applyBorder="1" applyAlignment="1">
      <alignment horizontal="left"/>
    </xf>
    <xf numFmtId="176" fontId="89" fillId="0" borderId="0" xfId="0" applyNumberFormat="1" applyFont="1" applyAlignment="1"/>
    <xf numFmtId="179" fontId="87" fillId="0" borderId="0" xfId="0" applyNumberFormat="1" applyFont="1" applyAlignment="1"/>
    <xf numFmtId="3" fontId="10" fillId="0" borderId="0" xfId="0" applyNumberFormat="1" applyFont="1" applyAlignment="1"/>
    <xf numFmtId="0" fontId="61" fillId="0" borderId="18" xfId="0" applyFont="1" applyBorder="1" applyAlignment="1"/>
    <xf numFmtId="2" fontId="89" fillId="0" borderId="0" xfId="0" applyNumberFormat="1" applyFont="1" applyAlignment="1"/>
    <xf numFmtId="0" fontId="90" fillId="0" borderId="18" xfId="0" applyFont="1" applyBorder="1" applyAlignment="1">
      <alignment horizontal="right"/>
    </xf>
    <xf numFmtId="0" fontId="91" fillId="9" borderId="0" xfId="0" applyFont="1" applyFill="1" applyBorder="1" applyAlignment="1">
      <alignment horizontal="center"/>
    </xf>
    <xf numFmtId="0" fontId="92" fillId="0" borderId="0" xfId="0" applyFont="1" applyAlignment="1">
      <alignment vertical="center"/>
    </xf>
    <xf numFmtId="177" fontId="3" fillId="5" borderId="0" xfId="0" applyNumberFormat="1" applyFont="1" applyFill="1" applyAlignment="1"/>
    <xf numFmtId="177" fontId="10" fillId="0" borderId="0" xfId="0" applyNumberFormat="1" applyFont="1" applyAlignment="1"/>
    <xf numFmtId="177" fontId="10" fillId="5" borderId="0" xfId="0" applyNumberFormat="1" applyFont="1" applyFill="1" applyAlignment="1"/>
    <xf numFmtId="0" fontId="63" fillId="0" borderId="18" xfId="0" applyFont="1" applyBorder="1" applyAlignment="1"/>
    <xf numFmtId="177" fontId="63" fillId="5" borderId="0" xfId="0" applyNumberFormat="1" applyFont="1" applyFill="1" applyAlignment="1"/>
    <xf numFmtId="0" fontId="93" fillId="0" borderId="0" xfId="0" applyFont="1" applyAlignment="1">
      <alignment vertical="center"/>
    </xf>
    <xf numFmtId="177" fontId="3" fillId="0" borderId="27" xfId="0" applyNumberFormat="1" applyFont="1" applyBorder="1" applyAlignment="1"/>
    <xf numFmtId="177" fontId="3" fillId="0" borderId="28" xfId="0" applyNumberFormat="1" applyFont="1" applyBorder="1" applyAlignment="1"/>
    <xf numFmtId="177" fontId="3" fillId="5" borderId="27" xfId="0" applyNumberFormat="1" applyFont="1" applyFill="1" applyBorder="1" applyAlignment="1"/>
    <xf numFmtId="177" fontId="3" fillId="4" borderId="27" xfId="0" applyNumberFormat="1" applyFont="1" applyFill="1" applyBorder="1" applyAlignment="1"/>
    <xf numFmtId="177" fontId="10" fillId="4" borderId="0" xfId="0" applyNumberFormat="1" applyFont="1" applyFill="1" applyAlignment="1"/>
    <xf numFmtId="177" fontId="94" fillId="0" borderId="0" xfId="0" applyNumberFormat="1" applyFont="1" applyAlignment="1"/>
    <xf numFmtId="0" fontId="10" fillId="0" borderId="18" xfId="0" applyFont="1" applyBorder="1" applyAlignment="1"/>
    <xf numFmtId="177" fontId="58" fillId="0" borderId="0" xfId="0" applyNumberFormat="1" applyFont="1" applyAlignment="1">
      <alignment vertical="center"/>
    </xf>
    <xf numFmtId="177" fontId="58" fillId="5" borderId="0" xfId="0" applyNumberFormat="1" applyFont="1" applyFill="1" applyAlignment="1">
      <alignment vertical="center"/>
    </xf>
    <xf numFmtId="0" fontId="57" fillId="0" borderId="18" xfId="0" applyFont="1" applyBorder="1" applyAlignment="1"/>
    <xf numFmtId="177" fontId="3" fillId="0" borderId="29" xfId="0" applyNumberFormat="1" applyFont="1" applyBorder="1" applyAlignment="1"/>
    <xf numFmtId="0" fontId="7" fillId="0" borderId="18" xfId="0" applyFont="1" applyBorder="1" applyAlignment="1"/>
    <xf numFmtId="177" fontId="89" fillId="0" borderId="0" xfId="0" applyNumberFormat="1" applyFont="1" applyAlignment="1"/>
    <xf numFmtId="177" fontId="89" fillId="5" borderId="0" xfId="0" applyNumberFormat="1" applyFont="1" applyFill="1" applyAlignment="1"/>
    <xf numFmtId="0" fontId="7" fillId="0" borderId="0" xfId="0" applyFont="1" applyAlignment="1"/>
    <xf numFmtId="177" fontId="3" fillId="4" borderId="0" xfId="0" applyNumberFormat="1" applyFont="1" applyFill="1" applyAlignment="1"/>
    <xf numFmtId="177" fontId="5" fillId="4" borderId="0" xfId="0" applyNumberFormat="1" applyFont="1" applyFill="1" applyAlignment="1"/>
    <xf numFmtId="176" fontId="3" fillId="4" borderId="0" xfId="0" applyNumberFormat="1" applyFont="1" applyFill="1" applyAlignment="1"/>
    <xf numFmtId="0" fontId="3" fillId="0" borderId="4" xfId="0" applyFont="1" applyBorder="1" applyAlignment="1"/>
    <xf numFmtId="191" fontId="3" fillId="4" borderId="4" xfId="0" applyNumberFormat="1" applyFont="1" applyFill="1" applyBorder="1" applyAlignment="1"/>
    <xf numFmtId="191" fontId="3" fillId="5" borderId="4" xfId="0" applyNumberFormat="1" applyFont="1" applyFill="1" applyBorder="1" applyAlignment="1"/>
    <xf numFmtId="191" fontId="3" fillId="4" borderId="0" xfId="0" applyNumberFormat="1" applyFont="1" applyFill="1" applyAlignment="1"/>
    <xf numFmtId="191" fontId="3" fillId="5" borderId="0" xfId="0" applyNumberFormat="1" applyFont="1" applyFill="1" applyAlignment="1"/>
    <xf numFmtId="176" fontId="3" fillId="5" borderId="0" xfId="0" applyNumberFormat="1" applyFont="1" applyFill="1" applyAlignment="1"/>
    <xf numFmtId="0" fontId="5" fillId="4" borderId="0" xfId="0" applyFont="1" applyFill="1" applyAlignment="1"/>
    <xf numFmtId="0" fontId="5" fillId="4" borderId="0" xfId="0" applyFont="1" applyFill="1" applyAlignment="1">
      <alignment horizontal="center"/>
    </xf>
    <xf numFmtId="199" fontId="5" fillId="5" borderId="0" xfId="0" applyNumberFormat="1" applyFont="1" applyFill="1" applyAlignment="1"/>
    <xf numFmtId="37" fontId="0" fillId="0" borderId="0" xfId="0" applyNumberFormat="1" applyAlignment="1">
      <alignment horizontal="right" vertical="center" wrapText="1"/>
    </xf>
    <xf numFmtId="37" fontId="0" fillId="0" borderId="0" xfId="0" applyNumberFormat="1" applyAlignment="1">
      <alignment horizontal="center" vertical="center" wrapText="1"/>
    </xf>
    <xf numFmtId="176" fontId="3" fillId="4" borderId="4" xfId="0" applyNumberFormat="1" applyFont="1" applyFill="1" applyBorder="1" applyAlignment="1"/>
    <xf numFmtId="176" fontId="3" fillId="5" borderId="4" xfId="0" applyNumberFormat="1" applyFont="1" applyFill="1" applyBorder="1" applyAlignment="1"/>
    <xf numFmtId="0" fontId="58" fillId="0" borderId="0" xfId="0" applyFont="1" applyAlignment="1">
      <alignment vertical="center"/>
    </xf>
    <xf numFmtId="180" fontId="5" fillId="5" borderId="0" xfId="0" applyNumberFormat="1" applyFont="1" applyFill="1" applyAlignment="1"/>
    <xf numFmtId="10" fontId="5" fillId="5" borderId="0" xfId="0" applyNumberFormat="1" applyFont="1" applyFill="1" applyAlignment="1"/>
    <xf numFmtId="179" fontId="5" fillId="5" borderId="0" xfId="0" applyNumberFormat="1" applyFont="1" applyFill="1" applyAlignment="1"/>
    <xf numFmtId="0" fontId="58" fillId="0" borderId="4" xfId="0" applyFont="1" applyBorder="1" applyAlignment="1"/>
    <xf numFmtId="191" fontId="58" fillId="4" borderId="4" xfId="0" applyNumberFormat="1" applyFont="1" applyFill="1" applyBorder="1" applyAlignment="1">
      <alignment vertical="center"/>
    </xf>
    <xf numFmtId="191" fontId="58" fillId="5" borderId="4" xfId="0" applyNumberFormat="1" applyFont="1" applyFill="1" applyBorder="1" applyAlignment="1">
      <alignment vertical="center"/>
    </xf>
    <xf numFmtId="0" fontId="58" fillId="0" borderId="0" xfId="0" applyFont="1" applyAlignment="1"/>
    <xf numFmtId="191" fontId="58" fillId="4" borderId="0" xfId="0" applyNumberFormat="1" applyFont="1" applyFill="1" applyAlignment="1">
      <alignment vertical="center"/>
    </xf>
    <xf numFmtId="191" fontId="58" fillId="5" borderId="0" xfId="0" applyNumberFormat="1" applyFont="1" applyFill="1" applyAlignment="1">
      <alignment vertical="center"/>
    </xf>
    <xf numFmtId="0" fontId="58" fillId="4" borderId="0" xfId="0" applyFont="1" applyFill="1" applyAlignment="1">
      <alignment vertical="center"/>
    </xf>
    <xf numFmtId="0" fontId="58" fillId="5" borderId="0" xfId="0" applyFont="1" applyFill="1" applyAlignment="1">
      <alignment vertical="center"/>
    </xf>
    <xf numFmtId="176" fontId="58" fillId="0" borderId="0" xfId="0" applyNumberFormat="1" applyFont="1" applyAlignment="1">
      <alignment vertical="center"/>
    </xf>
    <xf numFmtId="198" fontId="58" fillId="5" borderId="0" xfId="0" applyNumberFormat="1" applyFont="1" applyFill="1" applyAlignment="1">
      <alignment vertical="center"/>
    </xf>
    <xf numFmtId="0" fontId="59" fillId="0" borderId="18" xfId="0" applyFont="1" applyBorder="1" applyAlignment="1"/>
    <xf numFmtId="0" fontId="58" fillId="0" borderId="0" xfId="0" applyFont="1" applyAlignment="1">
      <alignment horizontal="center" vertical="center"/>
    </xf>
    <xf numFmtId="0" fontId="66" fillId="0" borderId="0" xfId="0" applyFont="1" applyAlignment="1">
      <alignment vertical="center"/>
    </xf>
    <xf numFmtId="198" fontId="66" fillId="0" borderId="0" xfId="0" applyNumberFormat="1" applyFont="1" applyAlignment="1">
      <alignment vertical="center"/>
    </xf>
    <xf numFmtId="198" fontId="66" fillId="5" borderId="0" xfId="0" applyNumberFormat="1" applyFont="1" applyFill="1" applyAlignment="1">
      <alignment vertical="center"/>
    </xf>
    <xf numFmtId="191" fontId="58" fillId="0" borderId="0" xfId="0" applyNumberFormat="1" applyFont="1" applyAlignment="1">
      <alignment vertical="center"/>
    </xf>
    <xf numFmtId="0" fontId="60" fillId="0" borderId="18" xfId="0" applyFont="1" applyBorder="1" applyAlignment="1"/>
    <xf numFmtId="176" fontId="57" fillId="0" borderId="28" xfId="0" applyNumberFormat="1" applyFont="1" applyBorder="1" applyAlignment="1"/>
    <xf numFmtId="176" fontId="57" fillId="0" borderId="27" xfId="0" applyNumberFormat="1" applyFont="1" applyBorder="1" applyAlignment="1"/>
    <xf numFmtId="176" fontId="57" fillId="5" borderId="27" xfId="0" applyNumberFormat="1" applyFont="1" applyFill="1" applyBorder="1" applyAlignment="1"/>
    <xf numFmtId="9" fontId="87" fillId="0" borderId="0" xfId="0" applyNumberFormat="1" applyFont="1" applyAlignment="1">
      <alignment vertical="center"/>
    </xf>
    <xf numFmtId="0" fontId="95" fillId="4" borderId="0" xfId="0" applyFont="1" applyFill="1" applyAlignment="1">
      <alignment vertical="center"/>
    </xf>
    <xf numFmtId="0" fontId="3" fillId="0" borderId="2" xfId="0" applyFont="1" applyBorder="1" applyAlignment="1">
      <alignment horizontal="center" vertical="center"/>
    </xf>
    <xf numFmtId="0" fontId="3" fillId="0" borderId="6" xfId="0" applyFont="1" applyBorder="1" applyAlignment="1">
      <alignment horizontal="center" vertical="center" wrapText="1"/>
    </xf>
    <xf numFmtId="0" fontId="4" fillId="0" borderId="23" xfId="0" applyFont="1" applyBorder="1" applyAlignment="1">
      <alignment horizontal="center"/>
    </xf>
    <xf numFmtId="0" fontId="5" fillId="0" borderId="1" xfId="0" applyFont="1" applyBorder="1" applyAlignment="1"/>
    <xf numFmtId="176" fontId="94" fillId="0" borderId="30" xfId="0" applyNumberFormat="1" applyFont="1" applyBorder="1" applyAlignment="1"/>
    <xf numFmtId="176" fontId="94" fillId="0" borderId="4" xfId="0" applyNumberFormat="1" applyFont="1" applyBorder="1" applyAlignment="1"/>
    <xf numFmtId="176" fontId="94" fillId="0" borderId="1" xfId="0" applyNumberFormat="1" applyFont="1" applyBorder="1" applyAlignment="1"/>
    <xf numFmtId="176" fontId="94" fillId="0" borderId="0" xfId="0" applyNumberFormat="1" applyFont="1" applyAlignment="1"/>
    <xf numFmtId="0" fontId="95" fillId="4" borderId="0" xfId="0" applyFont="1" applyFill="1" applyAlignment="1"/>
    <xf numFmtId="0" fontId="5" fillId="0" borderId="0" xfId="0" applyFont="1" applyAlignment="1">
      <alignment wrapText="1"/>
    </xf>
    <xf numFmtId="176" fontId="60" fillId="5" borderId="0" xfId="0" applyNumberFormat="1" applyFont="1" applyFill="1" applyAlignment="1"/>
    <xf numFmtId="9" fontId="59" fillId="0" borderId="0" xfId="0" applyNumberFormat="1" applyFont="1" applyAlignment="1"/>
    <xf numFmtId="9" fontId="59" fillId="22" borderId="25" xfId="0" applyNumberFormat="1" applyFont="1" applyFill="1" applyBorder="1" applyAlignment="1"/>
    <xf numFmtId="176" fontId="61" fillId="4" borderId="1" xfId="0" applyNumberFormat="1" applyFont="1" applyFill="1" applyBorder="1" applyAlignment="1"/>
    <xf numFmtId="176" fontId="61" fillId="4" borderId="0" xfId="0" applyNumberFormat="1" applyFont="1" applyFill="1" applyAlignment="1"/>
    <xf numFmtId="176" fontId="61" fillId="5" borderId="0" xfId="0" applyNumberFormat="1" applyFont="1" applyFill="1" applyAlignment="1"/>
    <xf numFmtId="9" fontId="90" fillId="4" borderId="0" xfId="0" applyNumberFormat="1" applyFont="1" applyFill="1" applyAlignment="1"/>
    <xf numFmtId="9" fontId="59" fillId="22" borderId="17" xfId="0" applyNumberFormat="1" applyFont="1" applyFill="1" applyBorder="1" applyAlignment="1"/>
    <xf numFmtId="9" fontId="90" fillId="4" borderId="1" xfId="0" applyNumberFormat="1" applyFont="1" applyFill="1" applyBorder="1" applyAlignment="1"/>
    <xf numFmtId="9" fontId="90" fillId="5" borderId="0" xfId="0" applyNumberFormat="1" applyFont="1" applyFill="1" applyAlignment="1"/>
    <xf numFmtId="10" fontId="61" fillId="4" borderId="0" xfId="0" applyNumberFormat="1" applyFont="1" applyFill="1" applyAlignment="1"/>
    <xf numFmtId="176" fontId="96" fillId="5" borderId="0" xfId="0" applyNumberFormat="1" applyFont="1" applyFill="1" applyAlignment="1"/>
    <xf numFmtId="0" fontId="61" fillId="4" borderId="0" xfId="0" applyFont="1" applyFill="1" applyAlignment="1"/>
    <xf numFmtId="9" fontId="97" fillId="5" borderId="0" xfId="0" applyNumberFormat="1" applyFont="1" applyFill="1" applyAlignment="1"/>
    <xf numFmtId="10" fontId="0" fillId="0" borderId="0" xfId="0" applyNumberFormat="1" applyAlignment="1"/>
    <xf numFmtId="10" fontId="59" fillId="22" borderId="17" xfId="0" applyNumberFormat="1" applyFont="1" applyFill="1" applyBorder="1" applyAlignment="1"/>
    <xf numFmtId="10" fontId="59" fillId="22" borderId="25" xfId="0" applyNumberFormat="1" applyFont="1" applyFill="1" applyBorder="1" applyAlignment="1"/>
    <xf numFmtId="9" fontId="59" fillId="5" borderId="0" xfId="0" applyNumberFormat="1" applyFont="1" applyFill="1" applyAlignment="1"/>
    <xf numFmtId="0" fontId="0" fillId="0" borderId="15" xfId="0" applyBorder="1" applyAlignment="1"/>
    <xf numFmtId="0" fontId="0" fillId="0" borderId="31" xfId="0" applyBorder="1" applyAlignment="1">
      <alignment vertical="center"/>
    </xf>
    <xf numFmtId="0" fontId="0" fillId="0" borderId="15" xfId="0" applyBorder="1" applyAlignment="1">
      <alignment vertical="center"/>
    </xf>
    <xf numFmtId="0" fontId="76" fillId="0" borderId="0" xfId="0" applyFont="1" applyAlignment="1">
      <alignment horizontal="left" vertical="center"/>
    </xf>
    <xf numFmtId="181" fontId="98" fillId="0" borderId="0" xfId="0" applyNumberFormat="1" applyFont="1" applyAlignment="1">
      <alignment horizontal="center"/>
    </xf>
    <xf numFmtId="181" fontId="98" fillId="5" borderId="0" xfId="0" applyNumberFormat="1" applyFont="1" applyFill="1" applyAlignment="1"/>
    <xf numFmtId="176" fontId="10" fillId="0" borderId="0" xfId="0" applyNumberFormat="1" applyFont="1" applyAlignment="1">
      <alignment horizontal="center"/>
    </xf>
    <xf numFmtId="181" fontId="61" fillId="5" borderId="0" xfId="0" applyNumberFormat="1" applyFont="1" applyFill="1" applyAlignment="1"/>
    <xf numFmtId="179" fontId="3" fillId="0" borderId="0" xfId="0" applyNumberFormat="1" applyFont="1" applyAlignment="1">
      <alignment horizontal="center"/>
    </xf>
    <xf numFmtId="179" fontId="4" fillId="22" borderId="25" xfId="0" applyNumberFormat="1" applyFont="1" applyFill="1" applyBorder="1" applyAlignment="1"/>
    <xf numFmtId="10" fontId="10" fillId="0" borderId="0" xfId="0" applyNumberFormat="1" applyFont="1" applyAlignment="1">
      <alignment horizontal="center"/>
    </xf>
    <xf numFmtId="2" fontId="10" fillId="0" borderId="0" xfId="0" applyNumberFormat="1" applyFont="1" applyAlignment="1">
      <alignment horizontal="center"/>
    </xf>
    <xf numFmtId="176" fontId="3" fillId="0" borderId="4" xfId="0" applyNumberFormat="1" applyFont="1" applyBorder="1" applyAlignment="1">
      <alignment horizontal="center"/>
    </xf>
    <xf numFmtId="181" fontId="63" fillId="5" borderId="4" xfId="0" applyNumberFormat="1" applyFont="1" applyFill="1" applyBorder="1" applyAlignment="1"/>
    <xf numFmtId="0" fontId="63" fillId="0" borderId="18" xfId="0" applyFont="1" applyBorder="1" applyAlignment="1">
      <alignment horizontal="right"/>
    </xf>
    <xf numFmtId="10" fontId="88" fillId="0" borderId="0" xfId="0" applyNumberFormat="1" applyFont="1" applyAlignment="1">
      <alignment horizontal="center"/>
    </xf>
    <xf numFmtId="179" fontId="61" fillId="0" borderId="0" xfId="0" applyNumberFormat="1" applyFont="1" applyAlignment="1">
      <alignment horizontal="center"/>
    </xf>
    <xf numFmtId="179" fontId="63" fillId="5" borderId="0" xfId="0" applyNumberFormat="1" applyFont="1" applyFill="1" applyAlignment="1"/>
    <xf numFmtId="9" fontId="10" fillId="0" borderId="0" xfId="0" applyNumberFormat="1" applyFont="1" applyAlignment="1">
      <alignment horizontal="center"/>
    </xf>
    <xf numFmtId="9" fontId="5" fillId="22" borderId="25" xfId="0" applyNumberFormat="1" applyFont="1" applyFill="1" applyBorder="1" applyAlignment="1"/>
    <xf numFmtId="177" fontId="88" fillId="0" borderId="1" xfId="0" applyNumberFormat="1" applyFont="1" applyBorder="1" applyAlignment="1">
      <alignment horizontal="center"/>
    </xf>
    <xf numFmtId="177" fontId="88" fillId="0" borderId="0" xfId="0" applyNumberFormat="1" applyFont="1" applyAlignment="1">
      <alignment horizontal="center"/>
    </xf>
    <xf numFmtId="9" fontId="88" fillId="0" borderId="0" xfId="0" applyNumberFormat="1" applyFont="1" applyAlignment="1">
      <alignment horizontal="center"/>
    </xf>
    <xf numFmtId="10" fontId="5" fillId="22" borderId="25" xfId="0" applyNumberFormat="1" applyFont="1" applyFill="1" applyBorder="1" applyAlignment="1"/>
    <xf numFmtId="0" fontId="0" fillId="0" borderId="1" xfId="0" applyBorder="1" applyAlignment="1"/>
    <xf numFmtId="0" fontId="99" fillId="0" borderId="0" xfId="0" applyFont="1" applyAlignment="1"/>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right" vertical="center" wrapText="1"/>
    </xf>
    <xf numFmtId="181" fontId="63" fillId="0" borderId="0" xfId="0" applyNumberFormat="1" applyFont="1" applyAlignment="1"/>
    <xf numFmtId="181" fontId="94" fillId="0" borderId="1" xfId="0" applyNumberFormat="1" applyFont="1" applyBorder="1" applyAlignment="1">
      <alignment horizontal="center"/>
    </xf>
    <xf numFmtId="181" fontId="94" fillId="0" borderId="0" xfId="0" applyNumberFormat="1" applyFont="1" applyAlignment="1">
      <alignment horizontal="center"/>
    </xf>
    <xf numFmtId="181" fontId="63" fillId="5" borderId="0" xfId="0" applyNumberFormat="1" applyFont="1" applyFill="1" applyAlignment="1"/>
    <xf numFmtId="181" fontId="61" fillId="0" borderId="0" xfId="0" applyNumberFormat="1" applyFont="1" applyAlignment="1"/>
    <xf numFmtId="179" fontId="61" fillId="0" borderId="1" xfId="0" applyNumberFormat="1" applyFont="1" applyBorder="1" applyAlignment="1">
      <alignment vertical="center"/>
    </xf>
    <xf numFmtId="179" fontId="61" fillId="0" borderId="0" xfId="0" applyNumberFormat="1" applyFont="1" applyAlignment="1"/>
    <xf numFmtId="179" fontId="98" fillId="5" borderId="0" xfId="0" applyNumberFormat="1" applyFont="1" applyFill="1" applyAlignment="1"/>
    <xf numFmtId="179" fontId="61" fillId="22" borderId="25" xfId="0" applyNumberFormat="1" applyFont="1" applyFill="1" applyBorder="1" applyAlignment="1"/>
    <xf numFmtId="9" fontId="5" fillId="22" borderId="0" xfId="0" applyNumberFormat="1" applyFont="1" applyFill="1" applyAlignment="1"/>
    <xf numFmtId="179" fontId="61" fillId="0" borderId="1" xfId="0" applyNumberFormat="1" applyFont="1" applyBorder="1" applyAlignment="1"/>
    <xf numFmtId="176" fontId="10" fillId="0" borderId="1" xfId="0" applyNumberFormat="1" applyFont="1" applyBorder="1" applyAlignment="1"/>
    <xf numFmtId="179" fontId="4" fillId="0" borderId="0" xfId="0" applyNumberFormat="1" applyFont="1" applyAlignment="1"/>
    <xf numFmtId="181" fontId="94" fillId="0" borderId="0" xfId="0" applyNumberFormat="1" applyFont="1" applyAlignment="1"/>
    <xf numFmtId="181" fontId="63" fillId="0" borderId="2" xfId="0" applyNumberFormat="1" applyFont="1" applyBorder="1" applyAlignment="1"/>
    <xf numFmtId="181" fontId="94" fillId="0" borderId="23" xfId="0" applyNumberFormat="1" applyFont="1" applyBorder="1" applyAlignment="1">
      <alignment horizontal="center" vertical="center" wrapText="1"/>
    </xf>
    <xf numFmtId="181" fontId="94" fillId="0" borderId="2" xfId="0" applyNumberFormat="1" applyFont="1" applyBorder="1" applyAlignment="1">
      <alignment horizontal="center" vertical="center" wrapText="1"/>
    </xf>
    <xf numFmtId="181" fontId="63" fillId="5" borderId="2" xfId="0" applyNumberFormat="1" applyFont="1" applyFill="1" applyBorder="1" applyAlignment="1"/>
    <xf numFmtId="179" fontId="98" fillId="0" borderId="0" xfId="0" applyNumberFormat="1" applyFont="1" applyAlignment="1"/>
    <xf numFmtId="179" fontId="61" fillId="4" borderId="0" xfId="0" applyNumberFormat="1" applyFont="1" applyFill="1" applyAlignment="1"/>
    <xf numFmtId="181" fontId="63" fillId="4" borderId="0" xfId="0" applyNumberFormat="1" applyFont="1" applyFill="1" applyAlignment="1">
      <alignment vertical="center"/>
    </xf>
    <xf numFmtId="179" fontId="98" fillId="4" borderId="0" xfId="0" applyNumberFormat="1" applyFont="1" applyFill="1" applyAlignment="1">
      <alignment vertical="center"/>
    </xf>
    <xf numFmtId="179" fontId="10" fillId="4" borderId="0" xfId="0" applyNumberFormat="1" applyFont="1" applyFill="1" applyAlignment="1"/>
    <xf numFmtId="181" fontId="63" fillId="0" borderId="0" xfId="0" applyNumberFormat="1" applyFont="1" applyAlignment="1">
      <alignment vertical="center"/>
    </xf>
    <xf numFmtId="181" fontId="94" fillId="0" borderId="0" xfId="0" applyNumberFormat="1" applyFont="1" applyAlignment="1">
      <alignment vertical="center"/>
    </xf>
    <xf numFmtId="181" fontId="61" fillId="0" borderId="0" xfId="0" applyNumberFormat="1" applyFont="1" applyAlignment="1">
      <alignment vertical="center"/>
    </xf>
    <xf numFmtId="179" fontId="61" fillId="0" borderId="0" xfId="0" applyNumberFormat="1" applyFont="1" applyAlignment="1">
      <alignment vertical="center"/>
    </xf>
    <xf numFmtId="181" fontId="10" fillId="0" borderId="0" xfId="0" applyNumberFormat="1" applyFont="1" applyAlignment="1"/>
    <xf numFmtId="181" fontId="100" fillId="0" borderId="0" xfId="0" applyNumberFormat="1" applyFont="1" applyAlignment="1"/>
    <xf numFmtId="10" fontId="3" fillId="0" borderId="0" xfId="0" applyNumberFormat="1" applyFont="1" applyAlignment="1">
      <alignment horizontal="center" vertical="center" wrapText="1"/>
    </xf>
    <xf numFmtId="10" fontId="4" fillId="0" borderId="0" xfId="0" applyNumberFormat="1" applyFont="1" applyAlignment="1">
      <alignment horizontal="center"/>
    </xf>
    <xf numFmtId="10" fontId="77" fillId="0" borderId="0" xfId="0" applyNumberFormat="1" applyFont="1" applyAlignment="1">
      <alignment wrapText="1"/>
    </xf>
    <xf numFmtId="0" fontId="3" fillId="0" borderId="30" xfId="0" applyFont="1" applyBorder="1" applyAlignment="1">
      <alignment wrapText="1"/>
    </xf>
    <xf numFmtId="10" fontId="3" fillId="0" borderId="4" xfId="0" applyNumberFormat="1" applyFont="1" applyBorder="1" applyAlignment="1">
      <alignment wrapText="1"/>
    </xf>
    <xf numFmtId="10" fontId="3" fillId="0" borderId="26" xfId="0" applyNumberFormat="1" applyFont="1" applyBorder="1" applyAlignment="1">
      <alignment wrapText="1"/>
    </xf>
    <xf numFmtId="0" fontId="3" fillId="0" borderId="0" xfId="0" applyFont="1" applyAlignment="1">
      <alignment wrapText="1"/>
    </xf>
    <xf numFmtId="0" fontId="3" fillId="0" borderId="0" xfId="0" applyFont="1" applyAlignment="1">
      <alignment horizontal="left" vertical="center" wrapText="1"/>
    </xf>
    <xf numFmtId="0" fontId="3" fillId="0" borderId="4" xfId="0" applyFont="1" applyBorder="1" applyAlignment="1">
      <alignment wrapText="1"/>
    </xf>
    <xf numFmtId="10" fontId="3" fillId="0" borderId="30" xfId="0" applyNumberFormat="1" applyFont="1" applyBorder="1" applyAlignment="1">
      <alignment wrapText="1"/>
    </xf>
    <xf numFmtId="0" fontId="0" fillId="0" borderId="0" xfId="0" applyAlignment="1">
      <alignment horizontal="right" vertical="center" wrapText="1"/>
    </xf>
    <xf numFmtId="0" fontId="35" fillId="0" borderId="3" xfId="0" applyFont="1" applyBorder="1" applyAlignment="1">
      <alignment vertical="center" wrapText="1"/>
    </xf>
    <xf numFmtId="0" fontId="0" fillId="0" borderId="3" xfId="0" applyBorder="1" applyAlignment="1">
      <alignment horizontal="right" vertical="center" wrapText="1"/>
    </xf>
    <xf numFmtId="0" fontId="0" fillId="0" borderId="20" xfId="0" applyBorder="1" applyAlignment="1">
      <alignment horizontal="right" vertical="center" wrapText="1"/>
    </xf>
    <xf numFmtId="10" fontId="101" fillId="0" borderId="0" xfId="0" applyNumberFormat="1" applyFont="1" applyAlignment="1">
      <alignment horizontal="right" vertical="center" wrapText="1"/>
    </xf>
    <xf numFmtId="0" fontId="102" fillId="0" borderId="0" xfId="0" applyFont="1" applyAlignment="1">
      <alignment vertical="center" wrapText="1"/>
    </xf>
    <xf numFmtId="0" fontId="35" fillId="0" borderId="5" xfId="0" applyFont="1" applyBorder="1" applyAlignment="1">
      <alignment vertical="center" wrapText="1"/>
    </xf>
    <xf numFmtId="10" fontId="76" fillId="0" borderId="4" xfId="0" applyNumberFormat="1" applyFont="1" applyBorder="1" applyAlignment="1">
      <alignment horizontal="right" vertical="center" wrapText="1"/>
    </xf>
    <xf numFmtId="10" fontId="76" fillId="0" borderId="26" xfId="0" applyNumberFormat="1" applyFont="1" applyBorder="1" applyAlignment="1">
      <alignment horizontal="right" vertical="center" wrapText="1"/>
    </xf>
    <xf numFmtId="3" fontId="35" fillId="0" borderId="4" xfId="0" applyNumberFormat="1" applyFont="1" applyBorder="1" applyAlignment="1">
      <alignment horizontal="right" vertical="center" wrapText="1"/>
    </xf>
    <xf numFmtId="3" fontId="35" fillId="0" borderId="4" xfId="0" applyNumberFormat="1" applyFont="1" applyBorder="1" applyAlignment="1">
      <alignment horizontal="left" vertical="center" wrapText="1"/>
    </xf>
    <xf numFmtId="3" fontId="35" fillId="0" borderId="32" xfId="0" applyNumberFormat="1" applyFont="1" applyBorder="1" applyAlignment="1">
      <alignment horizontal="right" vertical="center" wrapText="1"/>
    </xf>
    <xf numFmtId="3" fontId="35" fillId="0" borderId="29" xfId="0" applyNumberFormat="1" applyFont="1" applyBorder="1" applyAlignment="1">
      <alignment horizontal="left" vertical="center" wrapText="1"/>
    </xf>
    <xf numFmtId="10" fontId="35" fillId="0" borderId="29" xfId="0" applyNumberFormat="1" applyFont="1" applyBorder="1" applyAlignment="1">
      <alignment horizontal="right" vertical="center" wrapText="1"/>
    </xf>
    <xf numFmtId="0" fontId="103" fillId="0" borderId="0" xfId="0" applyFont="1" applyAlignment="1">
      <alignment vertical="center" wrapText="1"/>
    </xf>
    <xf numFmtId="0" fontId="101" fillId="0" borderId="0" xfId="0" applyFont="1" applyAlignment="1">
      <alignment horizontal="right" vertical="center" wrapText="1"/>
    </xf>
    <xf numFmtId="0" fontId="101" fillId="0" borderId="18" xfId="0" applyFont="1" applyBorder="1" applyAlignment="1">
      <alignment horizontal="right" vertical="center" wrapText="1"/>
    </xf>
    <xf numFmtId="0" fontId="35" fillId="0" borderId="23" xfId="0" applyFont="1" applyBorder="1" applyAlignment="1">
      <alignment vertical="center" wrapText="1"/>
    </xf>
    <xf numFmtId="0" fontId="0" fillId="0" borderId="23" xfId="0" applyFont="1" applyBorder="1" applyAlignment="1">
      <alignment vertical="center" wrapText="1"/>
    </xf>
    <xf numFmtId="10" fontId="101" fillId="0" borderId="2" xfId="0" applyNumberFormat="1" applyFont="1" applyBorder="1" applyAlignment="1">
      <alignment horizontal="right" vertical="center" wrapText="1"/>
    </xf>
    <xf numFmtId="10" fontId="35" fillId="0" borderId="0" xfId="0" applyNumberFormat="1" applyFont="1" applyAlignment="1">
      <alignment horizontal="right" vertical="center" wrapText="1"/>
    </xf>
    <xf numFmtId="0" fontId="76" fillId="0" borderId="23" xfId="0" applyFont="1" applyBorder="1" applyAlignment="1">
      <alignment vertical="center" wrapText="1"/>
    </xf>
    <xf numFmtId="0" fontId="35" fillId="0" borderId="30" xfId="0" applyFont="1" applyBorder="1" applyAlignment="1">
      <alignment vertical="center" wrapText="1"/>
    </xf>
    <xf numFmtId="10" fontId="76" fillId="0" borderId="0" xfId="0" applyNumberFormat="1" applyFont="1" applyAlignment="1">
      <alignment horizontal="right" vertical="center" wrapText="1"/>
    </xf>
    <xf numFmtId="0" fontId="35" fillId="0" borderId="33" xfId="0" applyFont="1" applyBorder="1" applyAlignment="1">
      <alignment vertical="center" wrapText="1"/>
    </xf>
    <xf numFmtId="10" fontId="35" fillId="0" borderId="15" xfId="0" applyNumberFormat="1" applyFont="1" applyBorder="1" applyAlignment="1">
      <alignment horizontal="right" vertical="center" wrapText="1"/>
    </xf>
    <xf numFmtId="0" fontId="1" fillId="2" borderId="0" xfId="0" applyFont="1" applyFill="1" applyBorder="1" applyAlignment="1">
      <alignment horizontal="left" vertical="center" wrapText="1"/>
    </xf>
    <xf numFmtId="0" fontId="78" fillId="0" borderId="0" xfId="0" applyFont="1" applyAlignment="1">
      <alignment vertical="center"/>
    </xf>
    <xf numFmtId="0" fontId="4" fillId="0" borderId="2" xfId="0" applyFont="1" applyBorder="1" applyAlignment="1">
      <alignment horizontal="center" wrapText="1"/>
    </xf>
    <xf numFmtId="0" fontId="104" fillId="3" borderId="30" xfId="0" applyFont="1" applyFill="1" applyBorder="1" applyAlignment="1">
      <alignment horizontal="center" vertical="center" wrapText="1"/>
    </xf>
    <xf numFmtId="0" fontId="105" fillId="3" borderId="4" xfId="0" applyFont="1" applyFill="1" applyBorder="1" applyAlignment="1">
      <alignment horizontal="center" vertical="center" wrapText="1"/>
    </xf>
    <xf numFmtId="0" fontId="0" fillId="0" borderId="3" xfId="0" applyBorder="1" applyAlignment="1">
      <alignment vertical="center"/>
    </xf>
    <xf numFmtId="176" fontId="3" fillId="0" borderId="18" xfId="0" applyNumberFormat="1" applyFont="1" applyBorder="1" applyAlignment="1"/>
    <xf numFmtId="177" fontId="63" fillId="0" borderId="18" xfId="0" applyNumberFormat="1" applyFont="1" applyBorder="1" applyAlignment="1"/>
    <xf numFmtId="177" fontId="63" fillId="0" borderId="19" xfId="0" applyNumberFormat="1" applyFont="1" applyBorder="1" applyAlignment="1"/>
    <xf numFmtId="0" fontId="35" fillId="0" borderId="0" xfId="0" applyFont="1" applyAlignment="1">
      <alignment horizontal="center" vertical="center" wrapText="1"/>
    </xf>
    <xf numFmtId="200" fontId="35" fillId="0" borderId="0" xfId="0" applyNumberFormat="1" applyFont="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center" vertical="center" wrapText="1"/>
    </xf>
    <xf numFmtId="3" fontId="35" fillId="0" borderId="0" xfId="0" applyNumberFormat="1" applyFont="1" applyAlignment="1">
      <alignment horizontal="center" vertical="center" wrapText="1"/>
    </xf>
    <xf numFmtId="0" fontId="106" fillId="0" borderId="0" xfId="0" applyFont="1" applyAlignment="1">
      <alignment vertical="center"/>
    </xf>
    <xf numFmtId="0" fontId="0" fillId="0" borderId="30" xfId="0" applyBorder="1" applyAlignment="1">
      <alignment vertical="center"/>
    </xf>
    <xf numFmtId="0" fontId="0" fillId="0" borderId="4" xfId="0" applyBorder="1" applyAlignment="1">
      <alignment vertical="center"/>
    </xf>
    <xf numFmtId="0" fontId="107" fillId="0" borderId="26" xfId="0" applyFont="1" applyBorder="1" applyAlignment="1">
      <alignment vertical="center"/>
    </xf>
    <xf numFmtId="0" fontId="108" fillId="3" borderId="23" xfId="0" applyFont="1" applyFill="1" applyBorder="1" applyAlignment="1">
      <alignment horizontal="center" vertical="center" wrapText="1"/>
    </xf>
    <xf numFmtId="0" fontId="104" fillId="3" borderId="2" xfId="0" applyFont="1" applyFill="1" applyBorder="1" applyAlignment="1">
      <alignment horizontal="right" vertical="center" wrapText="1"/>
    </xf>
    <xf numFmtId="0" fontId="104" fillId="3" borderId="19" xfId="0" applyFont="1" applyFill="1" applyBorder="1" applyAlignment="1">
      <alignment horizontal="right" vertical="center" wrapText="1"/>
    </xf>
    <xf numFmtId="0" fontId="0" fillId="0" borderId="18" xfId="0" applyBorder="1" applyAlignment="1">
      <alignment horizontal="right" vertical="center" wrapText="1"/>
    </xf>
    <xf numFmtId="3" fontId="101" fillId="0" borderId="0" xfId="0" applyNumberFormat="1" applyFont="1" applyAlignment="1">
      <alignment horizontal="right" vertical="center" wrapText="1"/>
    </xf>
    <xf numFmtId="3" fontId="101" fillId="0" borderId="18" xfId="0" applyNumberFormat="1" applyFont="1" applyBorder="1" applyAlignment="1">
      <alignment horizontal="right" vertical="center" wrapText="1"/>
    </xf>
    <xf numFmtId="0" fontId="102" fillId="0" borderId="1" xfId="0" applyFont="1" applyBorder="1" applyAlignment="1">
      <alignment vertical="center" wrapText="1"/>
    </xf>
    <xf numFmtId="0" fontId="76" fillId="0" borderId="1" xfId="0" applyFont="1" applyBorder="1" applyAlignment="1">
      <alignment vertical="center" wrapText="1"/>
    </xf>
    <xf numFmtId="3" fontId="35" fillId="0" borderId="26" xfId="0" applyNumberFormat="1" applyFont="1" applyBorder="1" applyAlignment="1">
      <alignment horizontal="right" vertical="center" wrapText="1"/>
    </xf>
    <xf numFmtId="0" fontId="35" fillId="0" borderId="34" xfId="0" applyFont="1" applyBorder="1" applyAlignment="1">
      <alignment vertical="center" wrapText="1"/>
    </xf>
    <xf numFmtId="3" fontId="35" fillId="0" borderId="35" xfId="0" applyNumberFormat="1" applyFont="1" applyBorder="1" applyAlignment="1">
      <alignment horizontal="right" vertical="center" wrapText="1"/>
    </xf>
    <xf numFmtId="0" fontId="0" fillId="0" borderId="36" xfId="0" applyBorder="1" applyAlignment="1">
      <alignment horizontal="right" vertical="center" wrapText="1"/>
    </xf>
    <xf numFmtId="0" fontId="0" fillId="0" borderId="37" xfId="0" applyBorder="1" applyAlignment="1">
      <alignment horizontal="right" vertical="center" wrapText="1"/>
    </xf>
    <xf numFmtId="3" fontId="35" fillId="0" borderId="0" xfId="0" applyNumberFormat="1" applyFont="1" applyAlignment="1">
      <alignment horizontal="right" vertical="center" wrapText="1"/>
    </xf>
    <xf numFmtId="3" fontId="35" fillId="0" borderId="18" xfId="0" applyNumberFormat="1" applyFont="1" applyBorder="1" applyAlignment="1">
      <alignment horizontal="right" vertical="center" wrapText="1"/>
    </xf>
    <xf numFmtId="3" fontId="35" fillId="0" borderId="2" xfId="0" applyNumberFormat="1" applyFont="1" applyBorder="1" applyAlignment="1">
      <alignment horizontal="right" vertical="center" wrapText="1"/>
    </xf>
    <xf numFmtId="3" fontId="35" fillId="0" borderId="19" xfId="0" applyNumberFormat="1" applyFont="1" applyBorder="1" applyAlignment="1">
      <alignment horizontal="right" vertical="center" wrapText="1"/>
    </xf>
    <xf numFmtId="0" fontId="0" fillId="0" borderId="18" xfId="0" applyBorder="1" applyAlignment="1">
      <alignment vertical="center" wrapText="1"/>
    </xf>
    <xf numFmtId="3" fontId="101" fillId="0" borderId="0" xfId="0" applyNumberFormat="1" applyFont="1" applyAlignment="1">
      <alignment vertical="center" wrapText="1"/>
    </xf>
    <xf numFmtId="3" fontId="101" fillId="0" borderId="18" xfId="0" applyNumberFormat="1" applyFont="1" applyBorder="1" applyAlignment="1">
      <alignment vertical="center" wrapText="1"/>
    </xf>
    <xf numFmtId="3" fontId="35" fillId="0" borderId="3" xfId="0" applyNumberFormat="1" applyFont="1" applyBorder="1" applyAlignment="1">
      <alignment vertical="center" wrapText="1"/>
    </xf>
    <xf numFmtId="3" fontId="35" fillId="0" borderId="20" xfId="0" applyNumberFormat="1" applyFont="1" applyBorder="1" applyAlignment="1">
      <alignment vertical="center" wrapText="1"/>
    </xf>
    <xf numFmtId="0" fontId="101" fillId="0" borderId="0" xfId="0" applyFont="1" applyAlignment="1">
      <alignment vertical="center" wrapText="1"/>
    </xf>
    <xf numFmtId="0" fontId="101" fillId="0" borderId="18" xfId="0" applyFont="1" applyBorder="1" applyAlignment="1">
      <alignment vertical="center" wrapText="1"/>
    </xf>
    <xf numFmtId="0" fontId="35" fillId="0" borderId="0" xfId="0" applyFont="1" applyAlignment="1">
      <alignment horizontal="right" vertical="center" wrapText="1"/>
    </xf>
    <xf numFmtId="3" fontId="0" fillId="0" borderId="0" xfId="0" applyNumberFormat="1" applyAlignment="1">
      <alignment horizontal="right" vertical="center" wrapText="1"/>
    </xf>
    <xf numFmtId="3" fontId="35" fillId="0" borderId="2" xfId="0" applyNumberFormat="1" applyFont="1" applyBorder="1" applyAlignment="1">
      <alignment vertical="center" wrapText="1"/>
    </xf>
    <xf numFmtId="3" fontId="35" fillId="0" borderId="19" xfId="0" applyNumberFormat="1" applyFont="1" applyBorder="1" applyAlignment="1">
      <alignment vertical="center" wrapText="1"/>
    </xf>
    <xf numFmtId="3" fontId="35" fillId="0" borderId="0" xfId="0" applyNumberFormat="1" applyFont="1" applyAlignment="1">
      <alignment vertical="center" wrapText="1"/>
    </xf>
    <xf numFmtId="3" fontId="35" fillId="0" borderId="18" xfId="0" applyNumberFormat="1" applyFont="1" applyBorder="1" applyAlignment="1">
      <alignment vertical="center" wrapText="1"/>
    </xf>
    <xf numFmtId="0" fontId="35" fillId="0" borderId="38" xfId="0" applyFont="1" applyBorder="1" applyAlignment="1">
      <alignment vertical="center" wrapText="1"/>
    </xf>
    <xf numFmtId="3" fontId="35" fillId="0" borderId="32" xfId="0" applyNumberFormat="1" applyFont="1" applyBorder="1" applyAlignment="1">
      <alignment vertical="center" wrapText="1"/>
    </xf>
    <xf numFmtId="3" fontId="35" fillId="0" borderId="35" xfId="0" applyNumberFormat="1" applyFont="1" applyBorder="1" applyAlignment="1">
      <alignment vertical="center" wrapText="1"/>
    </xf>
    <xf numFmtId="0" fontId="0" fillId="0" borderId="39" xfId="0" applyBorder="1" applyAlignment="1">
      <alignment vertical="center"/>
    </xf>
    <xf numFmtId="0" fontId="0" fillId="0" borderId="2" xfId="0" applyBorder="1" applyAlignment="1">
      <alignment vertical="center"/>
    </xf>
    <xf numFmtId="0" fontId="0" fillId="0" borderId="19" xfId="0" applyBorder="1" applyAlignment="1">
      <alignment vertical="center"/>
    </xf>
    <xf numFmtId="2" fontId="5" fillId="5" borderId="0" xfId="0" applyNumberFormat="1" applyFont="1" applyFill="1" applyAlignment="1"/>
    <xf numFmtId="0" fontId="4" fillId="0" borderId="0" xfId="0" applyFont="1" applyAlignment="1">
      <alignment horizontal="right" wrapText="1"/>
    </xf>
    <xf numFmtId="0" fontId="4" fillId="0" borderId="2" xfId="0" applyFont="1" applyBorder="1" applyAlignment="1">
      <alignment horizontal="right" wrapText="1"/>
    </xf>
    <xf numFmtId="0" fontId="2" fillId="3" borderId="30" xfId="0" applyFont="1" applyFill="1" applyBorder="1" applyAlignment="1">
      <alignment horizontal="center" wrapText="1"/>
    </xf>
    <xf numFmtId="0" fontId="2" fillId="3" borderId="4" xfId="0" applyFont="1" applyFill="1" applyBorder="1" applyAlignment="1">
      <alignment horizontal="center" wrapText="1"/>
    </xf>
    <xf numFmtId="0" fontId="2" fillId="3" borderId="26" xfId="0" applyFont="1" applyFill="1" applyBorder="1" applyAlignment="1">
      <alignment horizontal="center" wrapText="1"/>
    </xf>
    <xf numFmtId="0" fontId="3" fillId="0" borderId="2" xfId="0" applyFont="1" applyBorder="1" applyAlignment="1">
      <alignment horizontal="center" vertical="center" wrapText="1"/>
    </xf>
    <xf numFmtId="177" fontId="77" fillId="0" borderId="0" xfId="0" applyNumberFormat="1" applyFont="1" applyAlignment="1">
      <alignment wrapText="1"/>
    </xf>
    <xf numFmtId="201" fontId="3" fillId="0" borderId="4" xfId="0" applyNumberFormat="1" applyFont="1" applyBorder="1" applyAlignment="1"/>
    <xf numFmtId="0" fontId="77" fillId="0" borderId="0" xfId="0" applyFont="1" applyAlignment="1">
      <alignment wrapText="1"/>
    </xf>
    <xf numFmtId="176" fontId="77" fillId="0" borderId="0" xfId="0" applyNumberFormat="1" applyFont="1" applyAlignment="1"/>
    <xf numFmtId="176" fontId="63" fillId="0" borderId="0" xfId="0" applyNumberFormat="1" applyFont="1" applyAlignment="1">
      <alignment horizontal="left" vertical="center"/>
    </xf>
    <xf numFmtId="0" fontId="7" fillId="0" borderId="0" xfId="0" applyFont="1" applyAlignment="1">
      <alignment wrapText="1"/>
    </xf>
    <xf numFmtId="0" fontId="5" fillId="5" borderId="0" xfId="0" applyFont="1" applyFill="1" applyAlignment="1">
      <alignment wrapText="1"/>
    </xf>
    <xf numFmtId="9" fontId="5" fillId="5" borderId="0" xfId="0" applyNumberFormat="1" applyFont="1" applyFill="1" applyAlignment="1">
      <alignment horizontal="right"/>
    </xf>
    <xf numFmtId="9" fontId="5" fillId="5" borderId="0" xfId="0" applyNumberFormat="1" applyFont="1" applyFill="1" applyAlignment="1"/>
    <xf numFmtId="0" fontId="0" fillId="0" borderId="0" xfId="0" applyAlignment="1">
      <alignment horizontal="left" vertical="center"/>
    </xf>
    <xf numFmtId="0" fontId="2" fillId="2" borderId="5" xfId="0" applyFont="1" applyFill="1" applyBorder="1" applyAlignment="1">
      <alignment horizontal="left"/>
    </xf>
    <xf numFmtId="0" fontId="91" fillId="0" borderId="5" xfId="0" applyFont="1" applyBorder="1" applyAlignment="1">
      <alignment horizontal="left" vertical="center" wrapText="1"/>
    </xf>
    <xf numFmtId="0" fontId="91" fillId="0" borderId="5" xfId="0" applyFont="1" applyBorder="1" applyAlignment="1">
      <alignment horizontal="left"/>
    </xf>
    <xf numFmtId="0" fontId="109" fillId="0" borderId="5" xfId="0" applyFont="1" applyBorder="1" applyAlignment="1">
      <alignment horizontal="left"/>
    </xf>
    <xf numFmtId="0" fontId="2" fillId="2" borderId="5" xfId="0" applyFont="1" applyFill="1" applyBorder="1" applyAlignment="1">
      <alignment horizontal="left" vertical="center"/>
    </xf>
    <xf numFmtId="0" fontId="110" fillId="0" borderId="5" xfId="0" applyFont="1" applyBorder="1" applyAlignment="1">
      <alignment horizontal="left" wrapText="1"/>
    </xf>
    <xf numFmtId="1" fontId="91" fillId="0" borderId="5" xfId="0" applyNumberFormat="1" applyFont="1" applyBorder="1" applyAlignment="1">
      <alignment horizontal="center"/>
    </xf>
    <xf numFmtId="0" fontId="6" fillId="3" borderId="0" xfId="0" applyFont="1" applyFill="1" applyAlignment="1">
      <alignment horizontal="center"/>
    </xf>
    <xf numFmtId="0" fontId="5" fillId="23" borderId="0" xfId="0" applyFont="1" applyFill="1" applyBorder="1" applyAlignment="1">
      <alignment horizontal="center"/>
    </xf>
    <xf numFmtId="0" fontId="5" fillId="23" borderId="0" xfId="0" applyFont="1" applyFill="1" applyAlignment="1">
      <alignment horizontal="center"/>
    </xf>
    <xf numFmtId="0" fontId="6" fillId="3" borderId="5" xfId="0" applyFont="1" applyFill="1" applyBorder="1" applyAlignment="1">
      <alignment horizontal="center"/>
    </xf>
    <xf numFmtId="0" fontId="3" fillId="0" borderId="30" xfId="0" applyFont="1" applyBorder="1" applyAlignment="1">
      <alignment horizontal="center"/>
    </xf>
    <xf numFmtId="0" fontId="3" fillId="0" borderId="4" xfId="0" applyFont="1" applyBorder="1" applyAlignment="1">
      <alignment horizontal="center"/>
    </xf>
    <xf numFmtId="0" fontId="3" fillId="0" borderId="26" xfId="0" applyFont="1" applyBorder="1" applyAlignment="1">
      <alignment horizontal="center"/>
    </xf>
    <xf numFmtId="0" fontId="5" fillId="0" borderId="0" xfId="0" applyFont="1" applyAlignment="1">
      <alignment horizontal="center"/>
    </xf>
    <xf numFmtId="181" fontId="5" fillId="0" borderId="18" xfId="0" applyNumberFormat="1" applyFont="1" applyBorder="1" applyAlignment="1"/>
    <xf numFmtId="0" fontId="5" fillId="0" borderId="23" xfId="0" applyFont="1" applyBorder="1" applyAlignment="1"/>
    <xf numFmtId="0" fontId="5" fillId="0" borderId="2" xfId="0" applyFont="1" applyBorder="1" applyAlignment="1">
      <alignment horizontal="center"/>
    </xf>
    <xf numFmtId="176" fontId="5" fillId="0" borderId="19" xfId="0" applyNumberFormat="1" applyFont="1" applyBorder="1" applyAlignment="1"/>
    <xf numFmtId="0" fontId="2" fillId="3" borderId="22" xfId="0" applyFont="1" applyFill="1" applyBorder="1" applyAlignment="1">
      <alignment horizontal="center"/>
    </xf>
    <xf numFmtId="0" fontId="111" fillId="0" borderId="6" xfId="0" applyFont="1" applyBorder="1" applyAlignment="1"/>
    <xf numFmtId="0" fontId="111" fillId="0" borderId="3" xfId="0" applyFont="1" applyBorder="1" applyAlignment="1">
      <alignment horizontal="center"/>
    </xf>
    <xf numFmtId="10" fontId="111" fillId="0" borderId="20" xfId="0" applyNumberFormat="1" applyFont="1" applyBorder="1" applyAlignment="1"/>
    <xf numFmtId="0" fontId="111" fillId="0" borderId="1" xfId="0" applyFont="1" applyBorder="1" applyAlignment="1"/>
    <xf numFmtId="0" fontId="111" fillId="0" borderId="0" xfId="0" applyFont="1" applyAlignment="1">
      <alignment horizontal="center"/>
    </xf>
    <xf numFmtId="10" fontId="111" fillId="0" borderId="18" xfId="0" applyNumberFormat="1" applyFont="1" applyBorder="1" applyAlignment="1"/>
    <xf numFmtId="0" fontId="111" fillId="0" borderId="23" xfId="0" applyFont="1" applyBorder="1" applyAlignment="1"/>
    <xf numFmtId="0" fontId="111" fillId="0" borderId="2" xfId="0" applyFont="1" applyBorder="1" applyAlignment="1">
      <alignment horizontal="center"/>
    </xf>
    <xf numFmtId="10" fontId="111" fillId="0" borderId="19" xfId="0" applyNumberFormat="1" applyFont="1" applyBorder="1" applyAlignment="1"/>
    <xf numFmtId="0" fontId="112" fillId="0" borderId="0" xfId="0" applyFont="1" applyAlignment="1">
      <alignment vertical="center"/>
    </xf>
    <xf numFmtId="0" fontId="113" fillId="0" borderId="0" xfId="0" applyFont="1" applyAlignment="1"/>
    <xf numFmtId="0" fontId="113" fillId="0" borderId="0" xfId="0" applyFont="1" applyAlignment="1">
      <alignment horizontal="center"/>
    </xf>
    <xf numFmtId="0" fontId="113" fillId="0" borderId="0" xfId="0" applyFont="1" applyAlignment="1">
      <alignment horizontal="left"/>
    </xf>
    <xf numFmtId="0" fontId="114" fillId="3" borderId="23" xfId="0" applyFont="1" applyFill="1" applyBorder="1" applyAlignment="1">
      <alignment horizontal="center"/>
    </xf>
    <xf numFmtId="0" fontId="0" fillId="3" borderId="0" xfId="0" applyFill="1" applyAlignment="1">
      <alignment vertical="center"/>
    </xf>
    <xf numFmtId="0" fontId="115" fillId="0" borderId="30" xfId="0" applyFont="1" applyBorder="1" applyAlignment="1">
      <alignment horizontal="center" vertical="center"/>
    </xf>
    <xf numFmtId="0" fontId="115" fillId="0" borderId="4" xfId="0" applyFont="1" applyBorder="1" applyAlignment="1">
      <alignment horizontal="center" vertical="center"/>
    </xf>
    <xf numFmtId="0" fontId="115" fillId="0" borderId="26" xfId="0" applyFont="1" applyBorder="1" applyAlignment="1">
      <alignment horizontal="center" vertical="center"/>
    </xf>
    <xf numFmtId="0" fontId="113" fillId="0" borderId="22" xfId="0" applyFont="1" applyBorder="1" applyAlignment="1">
      <alignment horizontal="center" vertical="center"/>
    </xf>
    <xf numFmtId="3" fontId="113" fillId="0" borderId="6" xfId="0" applyNumberFormat="1" applyFont="1" applyBorder="1" applyAlignment="1">
      <alignment horizontal="center" vertical="center"/>
    </xf>
    <xf numFmtId="3" fontId="113" fillId="0" borderId="3" xfId="0" applyNumberFormat="1" applyFont="1" applyBorder="1" applyAlignment="1">
      <alignment horizontal="center" vertical="center"/>
    </xf>
    <xf numFmtId="3" fontId="113" fillId="0" borderId="20" xfId="0" applyNumberFormat="1" applyFont="1" applyBorder="1" applyAlignment="1">
      <alignment horizontal="center" vertical="center"/>
    </xf>
    <xf numFmtId="3" fontId="113" fillId="0" borderId="22" xfId="0" applyNumberFormat="1" applyFont="1" applyBorder="1" applyAlignment="1">
      <alignment horizontal="center" vertical="center"/>
    </xf>
    <xf numFmtId="3" fontId="0" fillId="0" borderId="0" xfId="0" applyNumberFormat="1" applyAlignment="1">
      <alignment vertical="center"/>
    </xf>
    <xf numFmtId="0" fontId="113" fillId="0" borderId="21" xfId="0" applyFont="1" applyBorder="1" applyAlignment="1">
      <alignment horizontal="center" vertical="center"/>
    </xf>
    <xf numFmtId="3" fontId="113" fillId="0" borderId="1" xfId="0" applyNumberFormat="1" applyFont="1" applyBorder="1" applyAlignment="1">
      <alignment horizontal="center"/>
    </xf>
    <xf numFmtId="3" fontId="113" fillId="0" borderId="0" xfId="0" applyNumberFormat="1" applyFont="1" applyBorder="1" applyAlignment="1">
      <alignment horizontal="center" vertical="center"/>
    </xf>
    <xf numFmtId="3" fontId="113" fillId="0" borderId="18" xfId="0" applyNumberFormat="1" applyFont="1" applyBorder="1" applyAlignment="1">
      <alignment horizontal="center" vertical="center"/>
    </xf>
    <xf numFmtId="3" fontId="113" fillId="0" borderId="21" xfId="0" applyNumberFormat="1" applyFont="1" applyBorder="1" applyAlignment="1">
      <alignment horizontal="center" vertical="center"/>
    </xf>
    <xf numFmtId="3" fontId="113" fillId="0" borderId="0" xfId="0" applyNumberFormat="1" applyFont="1" applyBorder="1" applyAlignment="1">
      <alignment horizontal="center"/>
    </xf>
    <xf numFmtId="0" fontId="113" fillId="0" borderId="24" xfId="0" applyFont="1" applyBorder="1" applyAlignment="1">
      <alignment horizontal="center" vertical="center"/>
    </xf>
    <xf numFmtId="3" fontId="113" fillId="0" borderId="23" xfId="0" applyNumberFormat="1" applyFont="1" applyBorder="1" applyAlignment="1">
      <alignment horizontal="center"/>
    </xf>
    <xf numFmtId="3" fontId="113" fillId="0" borderId="2" xfId="0" applyNumberFormat="1" applyFont="1" applyBorder="1" applyAlignment="1">
      <alignment horizontal="center" vertical="center"/>
    </xf>
    <xf numFmtId="3" fontId="113" fillId="0" borderId="19" xfId="0" applyNumberFormat="1" applyFont="1" applyBorder="1" applyAlignment="1">
      <alignment horizontal="center" vertical="center"/>
    </xf>
    <xf numFmtId="3" fontId="113" fillId="0" borderId="24" xfId="0" applyNumberFormat="1" applyFont="1" applyBorder="1" applyAlignment="1">
      <alignment horizontal="center" vertical="center"/>
    </xf>
    <xf numFmtId="3" fontId="0" fillId="0" borderId="0" xfId="0" applyNumberFormat="1" applyAlignment="1">
      <alignment horizontal="left" vertical="center"/>
    </xf>
    <xf numFmtId="0" fontId="116" fillId="3" borderId="0" xfId="0" applyFont="1" applyFill="1" applyAlignment="1">
      <alignment horizontal="center" wrapText="1"/>
    </xf>
    <xf numFmtId="0" fontId="116" fillId="3" borderId="0" xfId="0" applyFont="1" applyFill="1" applyBorder="1" applyAlignment="1">
      <alignment horizontal="center"/>
    </xf>
    <xf numFmtId="0" fontId="15" fillId="0" borderId="5"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5" xfId="0" applyFont="1" applyBorder="1" applyAlignment="1">
      <alignment horizontal="left" vertical="center" wrapText="1"/>
    </xf>
    <xf numFmtId="0" fontId="15" fillId="0" borderId="26" xfId="0" applyFont="1" applyBorder="1" applyAlignment="1">
      <alignment horizontal="center" vertical="center" wrapText="1"/>
    </xf>
    <xf numFmtId="0" fontId="117" fillId="0" borderId="5" xfId="0" applyFont="1" applyBorder="1" applyAlignment="1">
      <alignment horizontal="left" vertical="center" wrapText="1"/>
    </xf>
    <xf numFmtId="0" fontId="15" fillId="0" borderId="26" xfId="0" applyFont="1" applyBorder="1" applyAlignment="1">
      <alignment horizontal="center" vertical="center"/>
    </xf>
    <xf numFmtId="0" fontId="15" fillId="0" borderId="24" xfId="0" applyFont="1" applyBorder="1" applyAlignment="1">
      <alignment horizontal="center" vertical="center"/>
    </xf>
    <xf numFmtId="0" fontId="11" fillId="0" borderId="5"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5" xfId="0" applyFont="1" applyBorder="1" applyAlignment="1">
      <alignment horizontal="center" vertical="center"/>
    </xf>
    <xf numFmtId="0" fontId="118" fillId="2" borderId="0" xfId="0" applyFont="1" applyFill="1" applyBorder="1" applyAlignment="1">
      <alignment horizontal="center" vertical="center" wrapText="1"/>
    </xf>
    <xf numFmtId="0" fontId="119" fillId="24" borderId="0" xfId="0" applyFont="1" applyFill="1" applyAlignment="1">
      <alignment vertical="center"/>
    </xf>
    <xf numFmtId="0" fontId="120" fillId="24" borderId="0" xfId="0" applyFont="1" applyFill="1" applyAlignment="1">
      <alignment vertical="center"/>
    </xf>
    <xf numFmtId="0" fontId="121" fillId="0" borderId="0" xfId="0" applyFont="1" applyAlignment="1">
      <alignment vertical="center"/>
    </xf>
    <xf numFmtId="0" fontId="122" fillId="0" borderId="0" xfId="0" applyFont="1" applyAlignment="1">
      <alignment vertical="center"/>
    </xf>
    <xf numFmtId="0" fontId="121" fillId="4" borderId="0" xfId="0" applyFont="1" applyFill="1" applyAlignment="1">
      <alignment vertical="center"/>
    </xf>
    <xf numFmtId="0" fontId="123" fillId="4" borderId="0" xfId="0" applyFont="1" applyFill="1" applyAlignment="1">
      <alignment vertical="center"/>
    </xf>
    <xf numFmtId="0" fontId="124" fillId="4" borderId="0" xfId="0" applyFont="1" applyFill="1" applyAlignment="1">
      <alignment vertical="center"/>
    </xf>
    <xf numFmtId="0" fontId="125" fillId="4" borderId="0" xfId="0" applyFont="1" applyFill="1" applyAlignment="1">
      <alignment vertical="center"/>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2" xfId="49"/>
    <cellStyle name="Normal 6" xfId="50"/>
    <cellStyle name="Normal 7 2" xfId="51"/>
  </cellStyles>
  <dxfs count="19">
    <dxf>
      <font>
        <color rgb="FF00B050"/>
      </font>
    </dxf>
    <dxf>
      <font>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7C32"/>
      <rgbColor rgb="00C0C0C0"/>
      <rgbColor rgb="00808080"/>
      <rgbColor rgb="0091ACE0"/>
      <rgbColor rgb="00645DF9"/>
      <rgbColor rgb="00FFFFCC"/>
      <rgbColor rgb="00E3EAF2"/>
      <rgbColor rgb="00660066"/>
      <rgbColor rgb="00F5B7BF"/>
      <rgbColor rgb="000070C0"/>
      <rgbColor rgb="00B6C7EA"/>
      <rgbColor rgb="00000080"/>
      <rgbColor rgb="00FF00FF"/>
      <rgbColor rgb="00D9D9D9"/>
      <rgbColor rgb="0000FFFF"/>
      <rgbColor rgb="00800080"/>
      <rgbColor rgb="00D91400"/>
      <rgbColor rgb="0000B050"/>
      <rgbColor rgb="000432FF"/>
      <rgbColor rgb="0000CCFF"/>
      <rgbColor rgb="00DAE3F5"/>
      <rgbColor rgb="00CCFF99"/>
      <rgbColor rgb="00FEE695"/>
      <rgbColor rgb="007DDFD6"/>
      <rgbColor rgb="00EF949E"/>
      <rgbColor rgb="00B3B3B3"/>
      <rgbColor rgb="00F5B482"/>
      <rgbColor rgb="004874CB"/>
      <rgbColor rgb="00A9E9E4"/>
      <rgbColor rgb="00BFBFBF"/>
      <rgbColor rgb="00D0CECE"/>
      <rgbColor rgb="00D6DCE5"/>
      <rgbColor rgb="00E54C5E"/>
      <rgbColor rgb="004472C4"/>
      <rgbColor rgb="00A6A6A6"/>
      <rgbColor rgb="00002060"/>
      <rgbColor rgb="00249087"/>
      <rgbColor rgb="0022222F"/>
      <rgbColor rgb="00232526"/>
      <rgbColor rgb="00C81D31"/>
      <rgbColor rgb="002F5597"/>
      <rgbColor rgb="001D41D5"/>
      <rgbColor rgb="00333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w="1260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Summary!$H$7:$K$7</c:f>
              <c:strCache>
                <c:ptCount val="4"/>
                <c:pt idx="0">
                  <c:v>Comps</c:v>
                </c:pt>
                <c:pt idx="1">
                  <c:v>DCF</c:v>
                </c:pt>
                <c:pt idx="2">
                  <c:v>52-week hi/lo</c:v>
                </c:pt>
                <c:pt idx="3">
                  <c:v>Consensus</c:v>
                </c:pt>
              </c:strCache>
            </c:strRef>
          </c:cat>
          <c:val>
            <c:numRef>
              <c:f>Summary!$H$10:$K$10</c:f>
              <c:numCache>
                <c:formatCode>#,##0.000</c:formatCode>
                <c:ptCount val="4"/>
                <c:pt idx="0">
                  <c:v>0.85</c:v>
                </c:pt>
                <c:pt idx="1" c:formatCode="#,##0">
                  <c:v>1675.53488437329</c:v>
                </c:pt>
                <c:pt idx="2" c:formatCode="#,##0">
                  <c:v>1775.2</c:v>
                </c:pt>
                <c:pt idx="3" c:formatCode="#,##0">
                  <c:v>2180</c:v>
                </c:pt>
              </c:numCache>
            </c:numRef>
          </c:val>
        </c:ser>
        <c:ser>
          <c:idx val="1"/>
          <c:order val="1"/>
          <c:spPr>
            <a:solidFill>
              <a:srgbClr val="4472C4"/>
            </a:solidFill>
            <a:ln w="12600">
              <a:solidFill>
                <a:srgbClr val="2F5597"/>
              </a:solidFill>
              <a:round/>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20204"/>
                    <a:ea typeface="+mn-ea"/>
                    <a:cs typeface="+mn-cs"/>
                  </a:defRPr>
                </a:pPr>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Summary!$H$7:$K$7</c:f>
              <c:strCache>
                <c:ptCount val="4"/>
                <c:pt idx="0">
                  <c:v>Comps</c:v>
                </c:pt>
                <c:pt idx="1">
                  <c:v>DCF</c:v>
                </c:pt>
                <c:pt idx="2">
                  <c:v>52-week hi/lo</c:v>
                </c:pt>
                <c:pt idx="3">
                  <c:v>Consensus</c:v>
                </c:pt>
              </c:strCache>
            </c:strRef>
          </c:cat>
          <c:val>
            <c:numRef>
              <c:f>Summary!$H$12:$K$12</c:f>
              <c:numCache>
                <c:formatCode>#,##0</c:formatCode>
                <c:ptCount val="4"/>
                <c:pt idx="0">
                  <c:v>1817.95</c:v>
                </c:pt>
                <c:pt idx="1">
                  <c:v>2485.33652810394</c:v>
                </c:pt>
                <c:pt idx="2" c:formatCode="General">
                  <c:v>173.2</c:v>
                </c:pt>
                <c:pt idx="3">
                  <c:v>175</c:v>
                </c:pt>
              </c:numCache>
            </c:numRef>
          </c:val>
        </c:ser>
        <c:dLbls>
          <c:showLegendKey val="0"/>
          <c:showVal val="0"/>
          <c:showCatName val="0"/>
          <c:showSerName val="0"/>
          <c:showPercent val="0"/>
          <c:showBubbleSize val="1"/>
        </c:dLbls>
        <c:gapWidth val="80"/>
        <c:overlap val="100"/>
        <c:axId val="3635905"/>
        <c:axId val="11818782"/>
      </c:barChart>
      <c:catAx>
        <c:axId val="3635905"/>
        <c:scaling>
          <c:orientation val="minMax"/>
        </c:scaling>
        <c:delete val="0"/>
        <c:axPos val="r"/>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Value per Share (INR)</a:t>
                </a:r>
                <a:endParaRPr sz="1000" b="1" strike="noStrike" spc="-1">
                  <a:solidFill>
                    <a:srgbClr val="000000"/>
                  </a:solidFill>
                  <a:latin typeface="Calibri" panose="020F0502020204030204"/>
                </a:endParaRPr>
              </a:p>
            </c:rich>
          </c:tx>
          <c:layout/>
          <c:overlay val="0"/>
          <c:spPr>
            <a:noFill/>
            <a:ln w="0">
              <a:noFill/>
            </a:ln>
          </c:spPr>
        </c:title>
        <c:numFmt formatCode="#,##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11818782"/>
        <c:crosses val="autoZero"/>
        <c:auto val="1"/>
        <c:lblAlgn val="ctr"/>
        <c:lblOffset val="100"/>
        <c:noMultiLvlLbl val="0"/>
      </c:catAx>
      <c:valAx>
        <c:axId val="11818782"/>
        <c:scaling>
          <c:orientation val="maxMin"/>
        </c:scaling>
        <c:delete val="0"/>
        <c:axPos val="b"/>
        <c:majorGridlines>
          <c:spPr>
            <a:ln w="0" cap="flat" cmpd="sng" algn="ctr">
              <a:solidFill>
                <a:srgbClr val="B3B3B3"/>
              </a:solidFill>
              <a:prstDash val="solid"/>
              <a:round/>
            </a:ln>
          </c:spPr>
        </c:majorGridlines>
        <c:numFmt formatCode="#,##0.000" sourceLinked="1"/>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3635905"/>
        <c:crosses val="autoZero"/>
        <c:crossBetween val="between"/>
      </c:valAx>
      <c:spPr>
        <a:noFill/>
        <a:ln w="0">
          <a:noFill/>
        </a:ln>
      </c:spPr>
    </c:plotArea>
    <c:legend>
      <c:legendPos val="b"/>
      <c:legendEntry>
        <c:idx val="0"/>
        <c:delete val="1"/>
      </c:legendEntry>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97c5ba4a-b5df-4ca5-b4a0-1120975a580a}"/>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Revenue &amp; YoY Growth</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"Total Income"</c:f>
              <c:strCache>
                <c:ptCount val="1"/>
                <c:pt idx="0">
                  <c:v>Total Income</c:v>
                </c:pt>
              </c:strCache>
            </c:strRef>
          </c:tx>
          <c:spPr>
            <a:solidFill>
              <a:srgbClr val="FF0000"/>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trendline>
            <c:spPr>
              <a:ln w="12600" cap="rnd" cmpd="sng" algn="ctr">
                <a:noFill/>
                <a:prstDash val="solid"/>
                <a:round/>
              </a:ln>
            </c:spPr>
            <c:trendlineType val="linear"/>
            <c:forward val="0"/>
            <c:backward val="0"/>
            <c:dispRSqr val="0"/>
            <c:dispEq val="0"/>
          </c:trendline>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Statement'!$C$13:$Q$13</c:f>
              <c:numCache>
                <c:formatCode>0.0</c:formatCode>
                <c:ptCount val="15"/>
                <c:pt idx="0">
                  <c:v>1170812</c:v>
                </c:pt>
                <c:pt idx="1">
                  <c:v>1400814</c:v>
                </c:pt>
                <c:pt idx="2">
                  <c:v>1514178</c:v>
                </c:pt>
                <c:pt idx="3">
                  <c:v>1745589</c:v>
                </c:pt>
                <c:pt idx="4">
                  <c:v>2137901</c:v>
                </c:pt>
                <c:pt idx="5">
                  <c:v>2541290.36621915</c:v>
                </c:pt>
                <c:pt idx="6">
                  <c:v>2861159.7645907</c:v>
                </c:pt>
                <c:pt idx="7">
                  <c:v>3191651.62478868</c:v>
                </c:pt>
                <c:pt idx="8">
                  <c:v>3527290.99131468</c:v>
                </c:pt>
                <c:pt idx="9">
                  <c:v>3861786.1006149</c:v>
                </c:pt>
                <c:pt idx="10">
                  <c:v>4188196.07567665</c:v>
                </c:pt>
                <c:pt idx="11">
                  <c:v>4499152.9154767</c:v>
                </c:pt>
                <c:pt idx="12">
                  <c:v>4787129.73211222</c:v>
                </c:pt>
                <c:pt idx="13">
                  <c:v>5044742.69034423</c:v>
                </c:pt>
                <c:pt idx="14">
                  <c:v>5265070.19013725</c:v>
                </c:pt>
              </c:numCache>
            </c:numRef>
          </c:val>
        </c:ser>
        <c:dLbls>
          <c:showLegendKey val="0"/>
          <c:showVal val="0"/>
          <c:showCatName val="0"/>
          <c:showSerName val="0"/>
          <c:showPercent val="0"/>
          <c:showBubbleSize val="1"/>
        </c:dLbls>
        <c:gapWidth val="150"/>
        <c:overlap val="0"/>
        <c:axId val="21883023"/>
        <c:axId val="31206634"/>
      </c:barChart>
      <c:catAx>
        <c:axId val="21883023"/>
        <c:scaling>
          <c:orientation val="minMax"/>
        </c:scaling>
        <c:delete val="0"/>
        <c:axPos val="b"/>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31206634"/>
        <c:crosses val="autoZero"/>
        <c:auto val="1"/>
        <c:lblAlgn val="ctr"/>
        <c:lblOffset val="100"/>
        <c:noMultiLvlLbl val="0"/>
      </c:catAx>
      <c:valAx>
        <c:axId val="31206634"/>
        <c:scaling>
          <c:orientation val="minMax"/>
        </c:scaling>
        <c:delete val="0"/>
        <c:axPos val="l"/>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INR in millions</a:t>
                </a:r>
                <a:endParaRPr lang="en-US" sz="1000" b="1" strike="noStrike" spc="-1">
                  <a:solidFill>
                    <a:srgbClr val="000000"/>
                  </a:solidFill>
                  <a:latin typeface="Calibri" panose="020F0502020204030204"/>
                </a:endParaRPr>
              </a:p>
            </c:rich>
          </c:tx>
          <c:layout/>
          <c:overlay val="0"/>
          <c:spPr>
            <a:noFill/>
            <a:ln w="0">
              <a:noFill/>
            </a:ln>
          </c:spPr>
        </c:title>
        <c:numFmt formatCode="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21883023"/>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eac13bb5-558b-42a7-98f7-885bbee4c072}"/>
      </c:ext>
    </c:extLst>
  </c:chart>
  <c:spPr>
    <a:solidFill>
      <a:srgbClr val="FEE695"/>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EBITDA vs Net Profit</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"EBITDA"</c:f>
              <c:strCache>
                <c:ptCount val="1"/>
                <c:pt idx="0">
                  <c:v>EBITDA</c:v>
                </c:pt>
              </c:strCache>
            </c:strRef>
          </c:tx>
          <c:spPr>
            <a:solidFill>
              <a:srgbClr val="FF0000"/>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Statement'!$C$25:$Q$25</c:f>
              <c:numCache>
                <c:formatCode>0.0</c:formatCode>
                <c:ptCount val="15"/>
                <c:pt idx="0">
                  <c:v>580682</c:v>
                </c:pt>
                <c:pt idx="1">
                  <c:v>722101</c:v>
                </c:pt>
                <c:pt idx="2">
                  <c:v>797272</c:v>
                </c:pt>
                <c:pt idx="3">
                  <c:v>947329</c:v>
                </c:pt>
                <c:pt idx="4">
                  <c:v>1224918</c:v>
                </c:pt>
                <c:pt idx="5">
                  <c:v>1348735.00440756</c:v>
                </c:pt>
                <c:pt idx="6">
                  <c:v>1518498.78274524</c:v>
                </c:pt>
                <c:pt idx="7">
                  <c:v>1693900.20339594</c:v>
                </c:pt>
                <c:pt idx="8">
                  <c:v>1872033.5519138</c:v>
                </c:pt>
                <c:pt idx="9">
                  <c:v>2049559.61060955</c:v>
                </c:pt>
                <c:pt idx="10">
                  <c:v>2222794.65883764</c:v>
                </c:pt>
                <c:pt idx="11">
                  <c:v>2387828.28910408</c:v>
                </c:pt>
                <c:pt idx="12">
                  <c:v>2540665.76813331</c:v>
                </c:pt>
                <c:pt idx="13">
                  <c:v>2677388.28476309</c:v>
                </c:pt>
                <c:pt idx="14">
                  <c:v>2794322.34918743</c:v>
                </c:pt>
              </c:numCache>
            </c:numRef>
          </c:val>
        </c:ser>
        <c:ser>
          <c:idx val="1"/>
          <c:order val="1"/>
          <c:tx>
            <c:strRef>
              <c:f>"Net Profit"</c:f>
              <c:strCache>
                <c:ptCount val="1"/>
                <c:pt idx="0">
                  <c:v>Net Profit</c:v>
                </c:pt>
              </c:strCache>
            </c:strRef>
          </c:tx>
          <c:spPr>
            <a:solidFill>
              <a:srgbClr val="EF949E"/>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Statement'!$C$42:$Q$42</c:f>
              <c:numCache>
                <c:formatCode>0.0</c:formatCode>
                <c:ptCount val="15"/>
                <c:pt idx="0">
                  <c:v>83052</c:v>
                </c:pt>
                <c:pt idx="1">
                  <c:v>122874</c:v>
                </c:pt>
                <c:pt idx="2">
                  <c:v>85580</c:v>
                </c:pt>
                <c:pt idx="3">
                  <c:v>374813</c:v>
                </c:pt>
                <c:pt idx="4">
                  <c:v>338228</c:v>
                </c:pt>
                <c:pt idx="5">
                  <c:v>375367.646228976</c:v>
                </c:pt>
                <c:pt idx="6">
                  <c:v>457584.619115851</c:v>
                </c:pt>
                <c:pt idx="7">
                  <c:v>544932.836470315</c:v>
                </c:pt>
                <c:pt idx="8">
                  <c:v>659899.444282927</c:v>
                </c:pt>
                <c:pt idx="9">
                  <c:v>726442.892334542</c:v>
                </c:pt>
                <c:pt idx="10">
                  <c:v>821523.384438625</c:v>
                </c:pt>
                <c:pt idx="11">
                  <c:v>899248.365252962</c:v>
                </c:pt>
                <c:pt idx="12">
                  <c:v>977716.512271502</c:v>
                </c:pt>
                <c:pt idx="13">
                  <c:v>1040488.38520748</c:v>
                </c:pt>
                <c:pt idx="14">
                  <c:v>1092799.40638307</c:v>
                </c:pt>
              </c:numCache>
            </c:numRef>
          </c:val>
        </c:ser>
        <c:dLbls>
          <c:showLegendKey val="0"/>
          <c:showVal val="0"/>
          <c:showCatName val="0"/>
          <c:showSerName val="0"/>
          <c:showPercent val="0"/>
          <c:showBubbleSize val="1"/>
        </c:dLbls>
        <c:gapWidth val="150"/>
        <c:overlap val="0"/>
        <c:axId val="94430080"/>
        <c:axId val="7986452"/>
      </c:barChart>
      <c:catAx>
        <c:axId val="94430080"/>
        <c:scaling>
          <c:orientation val="minMax"/>
        </c:scaling>
        <c:delete val="0"/>
        <c:axPos val="b"/>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7986452"/>
        <c:crosses val="autoZero"/>
        <c:auto val="1"/>
        <c:lblAlgn val="ctr"/>
        <c:lblOffset val="100"/>
        <c:noMultiLvlLbl val="0"/>
      </c:catAx>
      <c:valAx>
        <c:axId val="7986452"/>
        <c:scaling>
          <c:orientation val="minMax"/>
        </c:scaling>
        <c:delete val="0"/>
        <c:axPos val="l"/>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INR in millions</a:t>
                </a:r>
                <a:endParaRPr lang="en-US" sz="1000" b="1" strike="noStrike" spc="-1">
                  <a:solidFill>
                    <a:srgbClr val="000000"/>
                  </a:solidFill>
                  <a:latin typeface="Calibri" panose="020F0502020204030204"/>
                </a:endParaRPr>
              </a:p>
            </c:rich>
          </c:tx>
          <c:layout/>
          <c:overlay val="0"/>
          <c:spPr>
            <a:noFill/>
            <a:ln w="0">
              <a:noFill/>
            </a:ln>
          </c:spPr>
        </c:title>
        <c:numFmt formatCode="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94430080"/>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923bac02-32e3-4cc6-96d6-f83828784d0e}"/>
      </c:ext>
    </c:extLst>
  </c:chart>
  <c:spPr>
    <a:solidFill>
      <a:srgbClr val="FEE695"/>
    </a:solidFill>
    <a:ln w="9360" cap="flat" cmpd="sng" algn="ctr">
      <a:solidFill>
        <a:srgbClr val="4874CB"/>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ROE vs ROIC</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"ROE"</c:f>
              <c:strCache>
                <c:ptCount val="1"/>
                <c:pt idx="0">
                  <c:v>ROE</c:v>
                </c:pt>
              </c:strCache>
            </c:strRef>
          </c:tx>
          <c:spPr>
            <a:solidFill>
              <a:srgbClr val="C81D31"/>
            </a:solidFill>
            <a:ln w="0">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'Ratio Analysis'!$C$8:$Q$8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'Ratio Analysis'!$C$23:$Q$23</c:f>
              <c:numCache>
                <c:formatCode>0.0%</c:formatCode>
                <c:ptCount val="15"/>
                <c:pt idx="1">
                  <c:v>0.0837305101893192</c:v>
                </c:pt>
                <c:pt idx="2">
                  <c:v>0.115914384443621</c:v>
                </c:pt>
                <c:pt idx="3">
                  <c:v>0.0660768801953121</c:v>
                </c:pt>
                <c:pt idx="4">
                  <c:v>0.214527556362327</c:v>
                </c:pt>
                <c:pt idx="5">
                  <c:v>0.160724806833975</c:v>
                </c:pt>
                <c:pt idx="6">
                  <c:v>0.154726317310989</c:v>
                </c:pt>
                <c:pt idx="7">
                  <c:v>0.16269621401581</c:v>
                </c:pt>
                <c:pt idx="8">
                  <c:v>0.166336437069001</c:v>
                </c:pt>
                <c:pt idx="9">
                  <c:v>0.173598684775627</c:v>
                </c:pt>
                <c:pt idx="10">
                  <c:v>0.166155411826155</c:v>
                </c:pt>
                <c:pt idx="11">
                  <c:v>0.164745769653276</c:v>
                </c:pt>
                <c:pt idx="12">
                  <c:v>0.159790415115515</c:v>
                </c:pt>
                <c:pt idx="13">
                  <c:v>0.15576290114509</c:v>
                </c:pt>
                <c:pt idx="14">
                  <c:v>0.150614658803586</c:v>
                </c:pt>
              </c:numCache>
            </c:numRef>
          </c:val>
        </c:ser>
        <c:ser>
          <c:idx val="1"/>
          <c:order val="1"/>
          <c:tx>
            <c:strRef>
              <c:f>"ROIC"</c:f>
              <c:strCache>
                <c:ptCount val="1"/>
                <c:pt idx="0">
                  <c:v>ROIC</c:v>
                </c:pt>
              </c:strCache>
            </c:strRef>
          </c:tx>
          <c:spPr>
            <a:solidFill>
              <a:srgbClr val="249087"/>
            </a:solidFill>
            <a:ln w="0">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'Ratio Analysis'!$C$8:$Q$8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'Ratio Analysis'!$C$42:$Q$42</c:f>
              <c:numCache>
                <c:formatCode>0.0%</c:formatCode>
                <c:ptCount val="15"/>
                <c:pt idx="0">
                  <c:v>0.0669757046236122</c:v>
                </c:pt>
                <c:pt idx="1">
                  <c:v>0.0832046702308603</c:v>
                </c:pt>
                <c:pt idx="2">
                  <c:v>0.0889944199917826</c:v>
                </c:pt>
                <c:pt idx="3">
                  <c:v>0.136956815658503</c:v>
                </c:pt>
                <c:pt idx="4">
                  <c:v>0.144732325509429</c:v>
                </c:pt>
                <c:pt idx="5">
                  <c:v>0.135970767618535</c:v>
                </c:pt>
                <c:pt idx="6">
                  <c:v>0.145658442306856</c:v>
                </c:pt>
                <c:pt idx="7">
                  <c:v>0.153305758579174</c:v>
                </c:pt>
                <c:pt idx="8">
                  <c:v>0.155289452991724</c:v>
                </c:pt>
                <c:pt idx="9">
                  <c:v>0.155848604246857</c:v>
                </c:pt>
                <c:pt idx="10">
                  <c:v>0.156674031844412</c:v>
                </c:pt>
                <c:pt idx="11">
                  <c:v>0.150345336433661</c:v>
                </c:pt>
                <c:pt idx="12">
                  <c:v>0.145230075537971</c:v>
                </c:pt>
                <c:pt idx="13">
                  <c:v>0.138976521496582</c:v>
                </c:pt>
                <c:pt idx="14">
                  <c:v>0.128934575013061</c:v>
                </c:pt>
              </c:numCache>
            </c:numRef>
          </c:val>
        </c:ser>
        <c:dLbls>
          <c:showLegendKey val="0"/>
          <c:showVal val="0"/>
          <c:showCatName val="0"/>
          <c:showSerName val="0"/>
          <c:showPercent val="0"/>
          <c:showBubbleSize val="1"/>
        </c:dLbls>
        <c:gapWidth val="150"/>
        <c:overlap val="0"/>
        <c:axId val="53024142"/>
        <c:axId val="60513833"/>
      </c:barChart>
      <c:catAx>
        <c:axId val="53024142"/>
        <c:scaling>
          <c:orientation val="minMax"/>
        </c:scaling>
        <c:delete val="0"/>
        <c:axPos val="b"/>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60513833"/>
        <c:crosses val="autoZero"/>
        <c:auto val="1"/>
        <c:lblAlgn val="ctr"/>
        <c:lblOffset val="100"/>
        <c:noMultiLvlLbl val="0"/>
      </c:catAx>
      <c:valAx>
        <c:axId val="60513833"/>
        <c:scaling>
          <c:orientation val="minMax"/>
        </c:scaling>
        <c:delete val="0"/>
        <c:axPos val="l"/>
        <c:numFmt formatCode="0.0%"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53024142"/>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90652b55-4cdb-4adc-9214-86d9523592bf}"/>
      </c:ext>
    </c:extLst>
  </c:chart>
  <c:spPr>
    <a:solidFill>
      <a:srgbClr val="FEE695"/>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334800</xdr:colOff>
      <xdr:row>0</xdr:row>
      <xdr:rowOff>300240</xdr:rowOff>
    </xdr:from>
    <xdr:to>
      <xdr:col>21</xdr:col>
      <xdr:colOff>509760</xdr:colOff>
      <xdr:row>12</xdr:row>
      <xdr:rowOff>137160</xdr:rowOff>
    </xdr:to>
    <xdr:pic>
      <xdr:nvPicPr>
        <xdr:cNvPr id="2" name="Picture 1" descr="airtel_logo_startuptalky"/>
        <xdr:cNvPicPr/>
      </xdr:nvPicPr>
      <xdr:blipFill>
        <a:blip r:embed="rId1"/>
        <a:stretch>
          <a:fillRect/>
        </a:stretch>
      </xdr:blipFill>
      <xdr:spPr>
        <a:xfrm>
          <a:off x="7656195" y="299720"/>
          <a:ext cx="5666740" cy="3175000"/>
        </a:xfrm>
        <a:prstGeom prst="rect">
          <a:avLst/>
        </a:prstGeom>
        <a:ln w="0">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23040</xdr:colOff>
      <xdr:row>5</xdr:row>
      <xdr:rowOff>97200</xdr:rowOff>
    </xdr:from>
    <xdr:to>
      <xdr:col>12</xdr:col>
      <xdr:colOff>96840</xdr:colOff>
      <xdr:row>15</xdr:row>
      <xdr:rowOff>43560</xdr:rowOff>
    </xdr:to>
    <xdr:pic>
      <xdr:nvPicPr>
        <xdr:cNvPr id="2" name="Picture 1" descr="C:/Users/ka655/OneDrive/Pictures/Screenshots/Screenshot 2026-07-21 202623.pngScreenshot 2026-07-21 202623"/>
        <xdr:cNvPicPr/>
      </xdr:nvPicPr>
      <xdr:blipFill>
        <a:blip r:embed="rId1"/>
        <a:srcRect l="-5" t="2255" r="5" b="2234"/>
        <a:stretch>
          <a:fillRect/>
        </a:stretch>
      </xdr:blipFill>
      <xdr:spPr>
        <a:xfrm>
          <a:off x="7892415" y="1003935"/>
          <a:ext cx="5683885" cy="4119880"/>
        </a:xfrm>
        <a:prstGeom prst="rect">
          <a:avLst/>
        </a:prstGeom>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68760</xdr:colOff>
      <xdr:row>13</xdr:row>
      <xdr:rowOff>86400</xdr:rowOff>
    </xdr:from>
    <xdr:to>
      <xdr:col>6</xdr:col>
      <xdr:colOff>510480</xdr:colOff>
      <xdr:row>24</xdr:row>
      <xdr:rowOff>183960</xdr:rowOff>
    </xdr:to>
    <xdr:graphicFrame>
      <xdr:nvGraphicFramePr>
        <xdr:cNvPr id="2" name="Chart 1"/>
        <xdr:cNvGraphicFramePr/>
      </xdr:nvGraphicFramePr>
      <xdr:xfrm>
        <a:off x="68580" y="2745740"/>
        <a:ext cx="4229100" cy="22498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107280</xdr:colOff>
      <xdr:row>5</xdr:row>
      <xdr:rowOff>74160</xdr:rowOff>
    </xdr:from>
    <xdr:to>
      <xdr:col>10</xdr:col>
      <xdr:colOff>39240</xdr:colOff>
      <xdr:row>23</xdr:row>
      <xdr:rowOff>46800</xdr:rowOff>
    </xdr:to>
    <xdr:graphicFrame>
      <xdr:nvGraphicFramePr>
        <xdr:cNvPr id="3" name="Chart 1"/>
        <xdr:cNvGraphicFramePr/>
      </xdr:nvGraphicFramePr>
      <xdr:xfrm>
        <a:off x="106680" y="980440"/>
        <a:ext cx="5614035" cy="32645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23400</xdr:colOff>
      <xdr:row>4</xdr:row>
      <xdr:rowOff>158040</xdr:rowOff>
    </xdr:from>
    <xdr:to>
      <xdr:col>20</xdr:col>
      <xdr:colOff>133200</xdr:colOff>
      <xdr:row>22</xdr:row>
      <xdr:rowOff>130680</xdr:rowOff>
    </xdr:to>
    <xdr:graphicFrame>
      <xdr:nvGraphicFramePr>
        <xdr:cNvPr id="4" name="Chart 2"/>
        <xdr:cNvGraphicFramePr/>
      </xdr:nvGraphicFramePr>
      <xdr:xfrm>
        <a:off x="6315075" y="881380"/>
        <a:ext cx="5601970" cy="32645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176040</xdr:colOff>
      <xdr:row>24</xdr:row>
      <xdr:rowOff>0</xdr:rowOff>
    </xdr:from>
    <xdr:to>
      <xdr:col>16</xdr:col>
      <xdr:colOff>297720</xdr:colOff>
      <xdr:row>41</xdr:row>
      <xdr:rowOff>159480</xdr:rowOff>
    </xdr:to>
    <xdr:graphicFrame>
      <xdr:nvGraphicFramePr>
        <xdr:cNvPr id="5" name="Chart 3"/>
        <xdr:cNvGraphicFramePr/>
      </xdr:nvGraphicFramePr>
      <xdr:xfrm>
        <a:off x="4027170" y="4381500"/>
        <a:ext cx="5613400" cy="326834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WPS">
  <a:themeElements>
    <a:clrScheme name="WPS">
      <a:dk1>
        <a:srgbClr val="000000"/>
      </a:dk1>
      <a:lt1>
        <a:srgbClr val="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Off val="17500"/>
              </a:schemeClr>
            </a:gs>
            <a:gs pos="100000">
              <a:schemeClr val="phClr"/>
            </a:gs>
          </a:gsLst>
          <a:lin ang="2700000" scaled="0"/>
          <a:tileRect/>
        </a:gradFill>
        <a:gradFill>
          <a:gsLst>
            <a:gs pos="0">
              <a:schemeClr val="phClr"/>
            </a:gs>
            <a:gs pos="100000">
              <a:schemeClr val="phClr"/>
            </a:gs>
          </a:gsLst>
          <a:lin ang="2700000" scaled="0"/>
          <a:tileRect/>
        </a:gradFill>
      </a:fillStyleLst>
      <a:lnStyleLst>
        <a:ln w="12700" cap="flat" cmpd="sng" algn="ctr">
          <a:prstDash val="solid"/>
          <a:miter lim="800000"/>
        </a:ln>
        <a:ln w="12700" cap="flat" cmpd="sng" algn="ctr">
          <a:prstDash val="solid"/>
          <a:miter lim="800000"/>
        </a:ln>
        <a:ln w="127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in.investing.com/rates-bonds/india-10-year-bond-yield-historical-data" TargetMode="External"/><Relationship Id="rId2" Type="http://schemas.openxmlformats.org/officeDocument/2006/relationships/hyperlink" Target="https://www.airtel.in/" TargetMode="Externa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hyperlink" Target="https://trendlyne.com/research-reports/broker/Motilal%20Oswal/" TargetMode="External"/><Relationship Id="rId2" Type="http://schemas.openxmlformats.org/officeDocument/2006/relationships/hyperlink" Target="https://trendlyne.com/research-reports/broker/Geojit%20BNP%20Paribas/" TargetMode="Externa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482"/>
  </sheetPr>
  <dimension ref="A1:L29"/>
  <sheetViews>
    <sheetView showGridLines="0" tabSelected="1" workbookViewId="0">
      <selection activeCell="E4" sqref="E4"/>
    </sheetView>
  </sheetViews>
  <sheetFormatPr defaultColWidth="8.89814814814815" defaultRowHeight="14.4"/>
  <cols>
    <col min="1" max="1" width="3.66666666666667" style="1" customWidth="1"/>
    <col min="3" max="3" width="14.1111111111111" style="1" customWidth="1"/>
  </cols>
  <sheetData>
    <row r="1" ht="42.75" customHeight="1" spans="1:12">
      <c r="A1" s="701" t="str">
        <f>Assumptions!A1</f>
        <v>Bharti Airtel Ltd.
</v>
      </c>
      <c r="B1" s="701"/>
      <c r="C1" s="701"/>
      <c r="D1" s="701"/>
      <c r="E1" s="701"/>
      <c r="F1" s="701"/>
    </row>
    <row r="3" ht="23.25" customHeight="1" spans="1:12">
      <c r="A3" s="702"/>
      <c r="B3" s="702" t="s">
        <v>0</v>
      </c>
      <c r="C3" s="702"/>
      <c r="D3" s="703"/>
      <c r="E3" s="703"/>
      <c r="F3" s="703"/>
      <c r="G3" s="703"/>
      <c r="H3" s="703"/>
      <c r="I3" s="703"/>
      <c r="J3" s="703"/>
    </row>
    <row r="5" ht="21" customHeight="1" spans="1:12">
      <c r="B5" s="704" t="s">
        <v>1</v>
      </c>
      <c r="C5" s="705"/>
      <c r="D5" s="705"/>
      <c r="E5" s="705"/>
    </row>
    <row r="6" ht="21" customHeight="1" spans="1:12">
      <c r="B6" s="704" t="s">
        <v>2</v>
      </c>
      <c r="C6" s="705"/>
      <c r="D6" s="705"/>
      <c r="E6" s="705"/>
    </row>
    <row r="7" ht="21" customHeight="1" spans="1:12">
      <c r="B7" s="704" t="s">
        <v>3</v>
      </c>
      <c r="C7" s="705"/>
      <c r="D7" s="705"/>
      <c r="E7" s="705"/>
    </row>
    <row r="8" ht="21" customHeight="1" spans="1:12">
      <c r="B8" s="704" t="s">
        <v>4</v>
      </c>
      <c r="C8" s="705"/>
      <c r="D8" s="705"/>
      <c r="E8" s="705"/>
    </row>
    <row r="9" ht="21" customHeight="1" spans="1:12">
      <c r="B9" s="704" t="s">
        <v>5</v>
      </c>
      <c r="C9" s="705"/>
      <c r="D9" s="705"/>
      <c r="E9" s="705"/>
    </row>
    <row r="10" ht="21" customHeight="1" spans="1:12">
      <c r="B10" s="704" t="s">
        <v>6</v>
      </c>
      <c r="C10" s="705"/>
      <c r="D10" s="705"/>
      <c r="E10" s="705"/>
    </row>
    <row r="11" ht="21" customHeight="1" spans="1:12">
      <c r="B11" s="704" t="s">
        <v>7</v>
      </c>
      <c r="C11" s="705"/>
      <c r="D11" s="705"/>
      <c r="E11" s="705"/>
    </row>
    <row r="12" ht="21" customHeight="1" spans="1:12">
      <c r="B12" s="705"/>
      <c r="C12" s="705"/>
      <c r="D12" s="705"/>
      <c r="E12" s="705"/>
    </row>
    <row r="13" ht="21" customHeight="1" spans="1:12">
      <c r="B13" s="705"/>
      <c r="C13" s="705"/>
      <c r="D13" s="705"/>
      <c r="E13" s="705"/>
    </row>
    <row r="14" ht="21" customHeight="1" spans="1:12">
      <c r="A14" s="702"/>
      <c r="B14" s="702" t="s">
        <v>8</v>
      </c>
      <c r="C14" s="702"/>
      <c r="D14" s="702"/>
      <c r="E14" s="702"/>
      <c r="F14" s="702"/>
      <c r="G14" s="702"/>
      <c r="H14" s="702"/>
      <c r="I14" s="702"/>
      <c r="J14" s="702"/>
      <c r="K14" s="702"/>
      <c r="L14" s="702"/>
    </row>
    <row r="16" ht="21" customHeight="1" spans="1:12">
      <c r="B16" s="704" t="s">
        <v>9</v>
      </c>
      <c r="C16" s="705"/>
      <c r="D16" s="705"/>
      <c r="E16" s="705"/>
    </row>
    <row r="17" ht="21" customHeight="1" spans="1:10">
      <c r="B17" s="704" t="s">
        <v>10</v>
      </c>
      <c r="C17" s="705"/>
      <c r="D17" s="705"/>
      <c r="E17" s="705"/>
    </row>
    <row r="18" ht="21" customHeight="1" spans="1:10">
      <c r="B18" s="704" t="s">
        <v>11</v>
      </c>
      <c r="C18" s="705"/>
      <c r="D18" s="705"/>
      <c r="E18" s="705"/>
    </row>
    <row r="19" ht="21" customHeight="1" spans="1:10">
      <c r="B19" s="704" t="s">
        <v>12</v>
      </c>
      <c r="C19" s="705"/>
      <c r="D19" s="705"/>
      <c r="E19" s="705"/>
    </row>
    <row r="20" ht="21" customHeight="1" spans="1:10">
      <c r="B20" s="704" t="s">
        <v>13</v>
      </c>
      <c r="C20" s="705"/>
      <c r="D20" s="705"/>
      <c r="E20" s="705"/>
    </row>
    <row r="21" ht="21" customHeight="1" spans="1:10">
      <c r="B21" s="704" t="s">
        <v>14</v>
      </c>
      <c r="C21" s="705"/>
      <c r="D21" s="705"/>
      <c r="E21" s="705"/>
    </row>
    <row r="22" ht="21" customHeight="1" spans="1:10">
      <c r="B22" s="704" t="s">
        <v>15</v>
      </c>
      <c r="C22" s="705"/>
      <c r="D22" s="705"/>
      <c r="E22" s="705"/>
    </row>
    <row r="23" ht="21" customHeight="1" spans="1:10">
      <c r="B23" s="704" t="s">
        <v>16</v>
      </c>
      <c r="C23" s="705"/>
      <c r="D23" s="705"/>
      <c r="E23" s="705"/>
    </row>
    <row r="24" ht="21" customHeight="1" spans="1:10">
      <c r="B24" s="704" t="s">
        <v>17</v>
      </c>
      <c r="C24" s="705"/>
      <c r="D24" s="705"/>
      <c r="E24" s="705"/>
    </row>
    <row r="25" ht="21" customHeight="1" spans="1:10">
      <c r="B25" s="704" t="s">
        <v>18</v>
      </c>
      <c r="C25" s="705"/>
      <c r="D25" s="705"/>
      <c r="E25" s="705"/>
    </row>
    <row r="26" ht="21" customHeight="1" spans="1:10">
      <c r="B26" s="704" t="s">
        <v>19</v>
      </c>
      <c r="C26" s="705"/>
      <c r="D26" s="705"/>
      <c r="E26" s="705"/>
    </row>
    <row r="27" ht="21" customHeight="1" spans="1:10">
      <c r="A27" s="74"/>
      <c r="B27" s="706" t="s">
        <v>20</v>
      </c>
      <c r="C27" s="707"/>
      <c r="D27" s="708"/>
      <c r="E27" s="708"/>
      <c r="F27" s="709"/>
      <c r="G27" s="709"/>
      <c r="H27" s="709"/>
      <c r="I27" s="709"/>
      <c r="J27" s="74"/>
    </row>
    <row r="28" ht="21" customHeight="1" spans="1:10">
      <c r="B28" s="705"/>
      <c r="C28" s="705"/>
      <c r="D28" s="705"/>
      <c r="E28" s="705"/>
    </row>
    <row r="29" ht="21" customHeight="1" spans="1:10">
      <c r="B29" s="705"/>
      <c r="C29" s="705"/>
      <c r="D29" s="705"/>
      <c r="E29" s="705"/>
    </row>
  </sheetData>
  <mergeCells count="1">
    <mergeCell ref="A1:F1"/>
  </mergeCells>
  <hyperlinks>
    <hyperlink ref="B5" location="Assumptions!B5" display="Assumptions"/>
    <hyperlink ref="B6" location="'P&amp;L Input'!B6" display="P&amp;L Input"/>
    <hyperlink ref="B7" location="'BS Input'!B6" display="BS Input"/>
    <hyperlink ref="B8" location="'CF Input'! B6" display="CF Input"/>
    <hyperlink ref="B9" location="'Market Data'!B6" display="Market Data"/>
    <hyperlink ref="B10" location="'Equity Beta'!B6" display="Equity Beta"/>
    <hyperlink ref="B11" location="'Comps Data'!B6" display="Comps Data"/>
    <hyperlink ref="B16" location="'Common Sizing'!B6" display="Common Sizing"/>
    <hyperlink ref="B17" location="'Revenue Buildup'!B6" display="Revenue Build-up"/>
    <hyperlink ref="B18" location="'Working Capital'!B6" display="Working Capital"/>
    <hyperlink ref="B19" location="'Income Statement'!B6" display="Income Statement"/>
    <hyperlink ref="B20" location="'Balance Sheet'!B6" display="Balance Sheet"/>
    <hyperlink ref="B21" location="'Cash Flows'!B6" display="Cash Flows"/>
    <hyperlink ref="B22" location="'Standard Income Statement'!B6" display="Standard Income Statement"/>
    <hyperlink ref="B23" location="'Ratio Analysis'!B6" display="Ratio Analysis"/>
    <hyperlink ref="B24" location="'DCF Valuation'!B6" display="DCF Valuation"/>
    <hyperlink ref="B25" location="COMPS!B7" display="COMPS"/>
    <hyperlink ref="B26" location="Charts!B6" display="Charts"/>
    <hyperlink ref="B27" location="FAS!B6" display="FAS"/>
  </hyperlink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L57"/>
  <sheetViews>
    <sheetView showGridLines="0" topLeftCell="A5" workbookViewId="0">
      <selection activeCell="B5" sqref="B5"/>
    </sheetView>
  </sheetViews>
  <sheetFormatPr defaultColWidth="8.89814814814815" defaultRowHeight="14.4"/>
  <cols>
    <col min="1" max="1" width="2.55555555555556" style="1" customWidth="1"/>
    <col min="2" max="2" width="46.7592592592593" style="1" customWidth="1"/>
    <col min="3" max="3" width="12.4444444444444" style="1" customWidth="1"/>
    <col min="4" max="4" width="21.7685185185185" style="1" customWidth="1"/>
    <col min="5" max="5" width="19.3333333333333" style="632" customWidth="1"/>
    <col min="6" max="6" width="11.8888888888889" style="1" customWidth="1"/>
    <col min="7" max="7" width="25.1111111111111" style="1" customWidth="1"/>
    <col min="8" max="8" width="11.1111111111111" style="1" customWidth="1"/>
    <col min="10" max="10" width="18.8888888888889" style="1" customWidth="1"/>
  </cols>
  <sheetData>
    <row r="1" ht="14.25" customHeight="1" spans="1:10">
      <c r="A1" s="2" t="s">
        <v>21</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6" ht="12" customHeight="1"/>
    <row r="7" ht="19.5" customHeight="1" spans="1:10">
      <c r="B7" s="633" t="s">
        <v>22</v>
      </c>
      <c r="C7" s="634" t="s">
        <v>21</v>
      </c>
      <c r="D7" s="634"/>
      <c r="E7" s="634"/>
      <c r="F7" s="634"/>
    </row>
    <row r="8" ht="19.5" customHeight="1" spans="1:10">
      <c r="B8" s="633" t="s">
        <v>23</v>
      </c>
      <c r="C8" s="635" t="s">
        <v>24</v>
      </c>
      <c r="D8" s="635"/>
      <c r="E8" s="635"/>
      <c r="F8" s="635"/>
    </row>
    <row r="9" ht="19.5" customHeight="1" spans="1:10">
      <c r="B9" s="633" t="s">
        <v>25</v>
      </c>
      <c r="C9" s="635" t="s">
        <v>26</v>
      </c>
      <c r="D9" s="635"/>
      <c r="E9" s="635"/>
      <c r="F9" s="635"/>
    </row>
    <row r="10" ht="19.5" customHeight="1" spans="1:10">
      <c r="B10" s="633" t="s">
        <v>27</v>
      </c>
      <c r="C10" s="635" t="s">
        <v>28</v>
      </c>
      <c r="D10" s="635"/>
      <c r="E10" s="635"/>
      <c r="F10" s="635"/>
    </row>
    <row r="11" ht="19.5" customHeight="1" spans="1:10">
      <c r="B11" s="633" t="s">
        <v>29</v>
      </c>
      <c r="C11" s="635" t="s">
        <v>30</v>
      </c>
      <c r="D11" s="635"/>
      <c r="E11" s="635"/>
      <c r="F11" s="635"/>
    </row>
    <row r="12" ht="16.5" customHeight="1" spans="1:10">
      <c r="B12" s="633" t="s">
        <v>31</v>
      </c>
      <c r="C12" s="636" t="s">
        <v>32</v>
      </c>
      <c r="D12" s="636"/>
      <c r="E12" s="636"/>
      <c r="F12" s="636"/>
    </row>
    <row r="13" ht="168.75" customHeight="1" spans="1:10">
      <c r="B13" s="637" t="s">
        <v>22</v>
      </c>
      <c r="C13" s="638" t="s">
        <v>33</v>
      </c>
      <c r="D13" s="638"/>
      <c r="E13" s="638"/>
      <c r="F13" s="638"/>
    </row>
    <row r="14" ht="19.5" customHeight="1" spans="1:10">
      <c r="B14" s="633" t="s">
        <v>34</v>
      </c>
      <c r="C14" s="639">
        <v>1949</v>
      </c>
      <c r="D14" s="639"/>
      <c r="E14" s="639"/>
      <c r="F14" s="639"/>
    </row>
    <row r="17" ht="14.25" customHeight="1" spans="2:5">
      <c r="B17" s="21" t="s">
        <v>35</v>
      </c>
      <c r="C17" s="21"/>
      <c r="D17" s="640" t="s">
        <v>36</v>
      </c>
    </row>
    <row r="18" ht="14.25" customHeight="1" spans="2:5">
      <c r="B18" s="641" t="s">
        <v>37</v>
      </c>
      <c r="C18" s="641"/>
      <c r="D18" s="642">
        <f>IF(B18="Best case",1,IF(B18="Base case",2,3))</f>
        <v>2</v>
      </c>
    </row>
    <row r="21" ht="14.25" customHeight="1" spans="2:5">
      <c r="B21" s="643" t="s">
        <v>38</v>
      </c>
      <c r="C21" s="643"/>
      <c r="D21" s="643"/>
    </row>
    <row r="22" ht="14.25" customHeight="1" spans="2:5">
      <c r="B22" s="644" t="s">
        <v>39</v>
      </c>
      <c r="C22" s="645"/>
      <c r="D22" s="646" t="s">
        <v>40</v>
      </c>
    </row>
    <row r="23" ht="14.25" customHeight="1" spans="2:5">
      <c r="B23" s="443" t="s">
        <v>41</v>
      </c>
      <c r="C23" s="647" t="s">
        <v>42</v>
      </c>
      <c r="D23" s="648">
        <v>6094393000</v>
      </c>
    </row>
    <row r="24" ht="14.25" customHeight="1" spans="2:5">
      <c r="B24" s="443" t="s">
        <v>43</v>
      </c>
      <c r="C24" s="647" t="s">
        <v>44</v>
      </c>
      <c r="D24" s="648">
        <v>5</v>
      </c>
    </row>
    <row r="25" ht="14.25" customHeight="1" spans="2:5">
      <c r="B25" s="443" t="s">
        <v>34</v>
      </c>
      <c r="C25" s="647" t="s">
        <v>44</v>
      </c>
      <c r="D25" s="648">
        <f>C14</f>
        <v>1949</v>
      </c>
    </row>
    <row r="26" ht="14.25" customHeight="1" spans="2:5">
      <c r="B26" s="649" t="s">
        <v>45</v>
      </c>
      <c r="C26" s="650" t="s">
        <v>46</v>
      </c>
      <c r="D26" s="651">
        <f>D23*D25/10^7</f>
        <v>1187797.1957</v>
      </c>
    </row>
    <row r="29" s="66" customFormat="1" ht="15" customHeight="1" spans="2:5">
      <c r="B29" s="652" t="s">
        <v>1</v>
      </c>
      <c r="C29" s="652"/>
      <c r="D29" s="652"/>
      <c r="E29" s="78"/>
    </row>
    <row r="30" s="66" customFormat="1" ht="15" customHeight="1" spans="2:5">
      <c r="B30" s="653" t="s">
        <v>47</v>
      </c>
      <c r="C30" s="654" t="s">
        <v>48</v>
      </c>
      <c r="D30" s="655">
        <v>0.04</v>
      </c>
      <c r="E30" s="78"/>
    </row>
    <row r="31" s="66" customFormat="1" ht="15" customHeight="1" spans="2:5">
      <c r="B31" s="656" t="s">
        <v>49</v>
      </c>
      <c r="C31" s="657" t="s">
        <v>48</v>
      </c>
      <c r="D31" s="658">
        <v>0.06707</v>
      </c>
      <c r="E31" s="78"/>
    </row>
    <row r="32" s="66" customFormat="1" ht="15" customHeight="1" spans="2:5">
      <c r="B32" s="659" t="s">
        <v>50</v>
      </c>
      <c r="C32" s="660" t="s">
        <v>48</v>
      </c>
      <c r="D32" s="661">
        <f>AVERAGE('Income Statement'!C31/('Balance Sheet'!C50+'Balance Sheet'!C61+'Balance Sheet'!C51+'Balance Sheet'!C62),'Income Statement'!D31/('Balance Sheet'!D50+'Balance Sheet'!D61+'Balance Sheet'!D51+'Balance Sheet'!D62),'Income Statement'!E31/('Balance Sheet'!E50+'Balance Sheet'!E61+'Balance Sheet'!E51+'Balance Sheet'!E62),'Income Statement'!F31/('Balance Sheet'!F50+'Balance Sheet'!F61+'Balance Sheet'!F51+'Balance Sheet'!F62),'Income Statement'!G31/('Balance Sheet'!G50+'Balance Sheet'!G61+'Balance Sheet'!G51+'Balance Sheet'!G62))*(1-'Cost Builup'!G34)</f>
        <v>0.0749489863269316</v>
      </c>
      <c r="E32" s="78"/>
    </row>
    <row r="33" ht="15" customHeight="1" spans="2:12">
      <c r="B33" s="662"/>
      <c r="C33" s="662"/>
      <c r="D33" s="662"/>
    </row>
    <row r="34" ht="18" customHeight="1" spans="2:12">
      <c r="B34" s="663"/>
      <c r="C34" s="664"/>
      <c r="D34" s="663"/>
      <c r="E34" s="665"/>
      <c r="F34" s="663"/>
      <c r="H34" s="49" t="s">
        <v>51</v>
      </c>
    </row>
    <row r="35" ht="18" customHeight="1" spans="2:12">
      <c r="B35" s="666" t="s">
        <v>52</v>
      </c>
      <c r="C35" s="666"/>
      <c r="D35" s="666"/>
      <c r="E35" s="666"/>
      <c r="F35" s="666"/>
      <c r="G35" s="666"/>
      <c r="H35" s="666"/>
      <c r="I35" s="667"/>
    </row>
    <row r="36" ht="18" customHeight="1" spans="2:12">
      <c r="B36" s="668" t="s">
        <v>53</v>
      </c>
      <c r="C36" s="668" t="s">
        <v>54</v>
      </c>
      <c r="D36" s="668"/>
      <c r="E36" s="669" t="s">
        <v>55</v>
      </c>
      <c r="F36" s="669"/>
      <c r="G36" s="670" t="s">
        <v>56</v>
      </c>
      <c r="H36" s="670"/>
      <c r="I36" s="670" t="s">
        <v>57</v>
      </c>
      <c r="J36" s="670"/>
    </row>
    <row r="37" ht="18" customHeight="1" spans="2:12">
      <c r="B37" s="671">
        <v>2022</v>
      </c>
      <c r="C37" s="672">
        <v>777402</v>
      </c>
      <c r="D37" s="672"/>
      <c r="E37" s="673">
        <v>345611</v>
      </c>
      <c r="F37" s="673"/>
      <c r="G37" s="674">
        <v>3716</v>
      </c>
      <c r="H37" s="674"/>
      <c r="I37" s="675">
        <v>38740</v>
      </c>
      <c r="J37" s="675"/>
      <c r="K37" s="676"/>
    </row>
    <row r="38" ht="18" customHeight="1" spans="2:12">
      <c r="B38" s="677">
        <f>B37+1</f>
        <v>2023</v>
      </c>
      <c r="C38" s="678">
        <v>928568</v>
      </c>
      <c r="D38" s="678"/>
      <c r="E38" s="679">
        <v>416024</v>
      </c>
      <c r="F38" s="679"/>
      <c r="G38" s="680">
        <v>2669</v>
      </c>
      <c r="H38" s="680"/>
      <c r="I38" s="681">
        <v>44187</v>
      </c>
      <c r="J38" s="681"/>
      <c r="K38" s="676"/>
    </row>
    <row r="39" ht="18" customHeight="1" spans="2:12">
      <c r="B39" s="677">
        <f>B38+1</f>
        <v>2024</v>
      </c>
      <c r="C39" s="678">
        <v>1041523</v>
      </c>
      <c r="D39" s="678"/>
      <c r="E39" s="679">
        <v>404995</v>
      </c>
      <c r="F39" s="679"/>
      <c r="G39" s="680">
        <v>3469</v>
      </c>
      <c r="H39" s="680"/>
      <c r="I39" s="681">
        <v>49837</v>
      </c>
      <c r="J39" s="681"/>
      <c r="K39" s="676"/>
    </row>
    <row r="40" ht="18" customHeight="1" spans="2:12">
      <c r="B40" s="677">
        <f>B39+1</f>
        <v>2025</v>
      </c>
      <c r="C40" s="682">
        <v>1264125</v>
      </c>
      <c r="D40" s="682"/>
      <c r="E40" s="679">
        <v>413798</v>
      </c>
      <c r="F40" s="679"/>
      <c r="G40" s="680">
        <v>878</v>
      </c>
      <c r="H40" s="680"/>
      <c r="I40" s="681">
        <v>51051</v>
      </c>
      <c r="J40" s="681"/>
      <c r="K40" s="676"/>
    </row>
    <row r="41" ht="18" customHeight="1" spans="2:12">
      <c r="B41" s="683">
        <f>B40+1</f>
        <v>2026</v>
      </c>
      <c r="C41" s="684">
        <v>1550658</v>
      </c>
      <c r="D41" s="684"/>
      <c r="E41" s="685">
        <v>520330</v>
      </c>
      <c r="F41" s="685"/>
      <c r="G41" s="686">
        <v>8719</v>
      </c>
      <c r="H41" s="686"/>
      <c r="I41" s="687">
        <v>30021</v>
      </c>
      <c r="J41" s="687"/>
      <c r="K41" s="676"/>
      <c r="L41" s="125"/>
    </row>
    <row r="42" ht="14.25" customHeight="1" spans="2:12">
      <c r="D42" s="231"/>
      <c r="E42" s="688"/>
      <c r="G42" s="231"/>
    </row>
    <row r="46" ht="28.5" customHeight="1" spans="2:12">
      <c r="B46" s="689" t="s">
        <v>58</v>
      </c>
      <c r="C46" s="689" t="s">
        <v>59</v>
      </c>
      <c r="D46" s="690" t="s">
        <v>1</v>
      </c>
      <c r="E46" s="690"/>
      <c r="F46" s="690"/>
      <c r="G46" s="690"/>
      <c r="H46" s="690"/>
      <c r="I46" s="690"/>
      <c r="J46" s="690"/>
    </row>
    <row r="47" ht="189" customHeight="1" spans="2:12">
      <c r="B47" s="691" t="s">
        <v>60</v>
      </c>
      <c r="C47" s="692" t="s">
        <v>61</v>
      </c>
      <c r="D47" s="693" t="s">
        <v>62</v>
      </c>
      <c r="E47" s="693"/>
      <c r="F47" s="693"/>
      <c r="G47" s="693"/>
      <c r="H47" s="693"/>
      <c r="I47" s="693"/>
      <c r="J47" s="693"/>
    </row>
    <row r="48" ht="42.75" customHeight="1" spans="2:12">
      <c r="B48" s="691"/>
      <c r="C48" s="694" t="s">
        <v>63</v>
      </c>
      <c r="D48" s="695" t="s">
        <v>64</v>
      </c>
      <c r="E48" s="695"/>
      <c r="F48" s="695"/>
      <c r="G48" s="695"/>
      <c r="H48" s="695"/>
      <c r="I48" s="695"/>
      <c r="J48" s="695"/>
    </row>
    <row r="49" ht="30" customHeight="1" spans="2:10">
      <c r="B49" s="691" t="s">
        <v>65</v>
      </c>
      <c r="C49" s="694" t="s">
        <v>66</v>
      </c>
      <c r="D49" s="693" t="s">
        <v>67</v>
      </c>
      <c r="E49" s="693"/>
      <c r="F49" s="693"/>
      <c r="G49" s="693"/>
      <c r="H49" s="693"/>
      <c r="I49" s="693"/>
      <c r="J49" s="693"/>
    </row>
    <row r="50" ht="33" customHeight="1" spans="2:10">
      <c r="B50" s="691"/>
      <c r="C50" s="692" t="s">
        <v>68</v>
      </c>
      <c r="D50" s="693" t="s">
        <v>69</v>
      </c>
      <c r="E50" s="693"/>
      <c r="F50" s="693"/>
      <c r="G50" s="693"/>
      <c r="H50" s="693"/>
      <c r="I50" s="693"/>
      <c r="J50" s="693"/>
    </row>
    <row r="51" ht="30" customHeight="1" spans="2:10">
      <c r="B51" s="691"/>
      <c r="C51" s="696" t="s">
        <v>70</v>
      </c>
      <c r="D51" s="693" t="s">
        <v>71</v>
      </c>
      <c r="E51" s="693"/>
      <c r="F51" s="693"/>
      <c r="G51" s="693"/>
      <c r="H51" s="693"/>
      <c r="I51" s="693"/>
      <c r="J51" s="693"/>
    </row>
    <row r="52" ht="48" customHeight="1" spans="2:10">
      <c r="B52" s="691" t="s">
        <v>20</v>
      </c>
      <c r="C52" s="692" t="s">
        <v>72</v>
      </c>
      <c r="D52" s="693" t="s">
        <v>73</v>
      </c>
      <c r="E52" s="693"/>
      <c r="F52" s="693"/>
      <c r="G52" s="693"/>
      <c r="H52" s="693"/>
      <c r="I52" s="693"/>
      <c r="J52" s="693"/>
    </row>
    <row r="53" ht="30.75" customHeight="1" spans="2:10">
      <c r="B53" s="691"/>
      <c r="C53" s="692" t="s">
        <v>72</v>
      </c>
      <c r="D53" s="693" t="s">
        <v>74</v>
      </c>
      <c r="E53" s="693"/>
      <c r="F53" s="693"/>
      <c r="G53" s="693"/>
      <c r="H53" s="693"/>
      <c r="I53" s="693"/>
      <c r="J53" s="693"/>
    </row>
    <row r="54" ht="39" customHeight="1" spans="2:10">
      <c r="B54" s="697" t="s">
        <v>75</v>
      </c>
      <c r="C54" s="698" t="s">
        <v>76</v>
      </c>
      <c r="D54" s="693" t="s">
        <v>77</v>
      </c>
      <c r="E54" s="693"/>
      <c r="F54" s="693"/>
      <c r="G54" s="693"/>
      <c r="H54" s="693"/>
      <c r="I54" s="693"/>
      <c r="J54" s="693"/>
    </row>
    <row r="55" ht="31.5" customHeight="1" spans="2:10">
      <c r="B55" s="691" t="s">
        <v>11</v>
      </c>
      <c r="C55" s="692" t="s">
        <v>78</v>
      </c>
      <c r="D55" s="693" t="s">
        <v>79</v>
      </c>
      <c r="E55" s="693"/>
      <c r="F55" s="693"/>
      <c r="G55" s="693"/>
      <c r="H55" s="693"/>
      <c r="I55" s="693"/>
      <c r="J55" s="693"/>
    </row>
    <row r="56" ht="39" customHeight="1" spans="2:10">
      <c r="B56" s="699" t="s">
        <v>12</v>
      </c>
      <c r="C56" s="692" t="s">
        <v>80</v>
      </c>
      <c r="D56" s="693" t="s">
        <v>81</v>
      </c>
      <c r="E56" s="693"/>
      <c r="F56" s="693"/>
      <c r="G56" s="693"/>
      <c r="H56" s="693"/>
      <c r="I56" s="693"/>
      <c r="J56" s="693"/>
    </row>
    <row r="57" ht="14.25" customHeight="1" spans="2:10">
      <c r="B57" s="700" t="s">
        <v>13</v>
      </c>
      <c r="C57" s="691" t="s">
        <v>82</v>
      </c>
      <c r="D57" s="693" t="s">
        <v>83</v>
      </c>
      <c r="E57" s="693"/>
      <c r="F57" s="693"/>
      <c r="G57" s="693"/>
      <c r="H57" s="693"/>
      <c r="I57" s="693"/>
      <c r="J57" s="693"/>
    </row>
  </sheetData>
  <mergeCells count="53">
    <mergeCell ref="C7:F7"/>
    <mergeCell ref="C8:F8"/>
    <mergeCell ref="C9:F9"/>
    <mergeCell ref="C10:F10"/>
    <mergeCell ref="C11:F11"/>
    <mergeCell ref="C12:F12"/>
    <mergeCell ref="C13:F13"/>
    <mergeCell ref="C14:F14"/>
    <mergeCell ref="B17:C17"/>
    <mergeCell ref="B18:C18"/>
    <mergeCell ref="B21:D21"/>
    <mergeCell ref="B29:D29"/>
    <mergeCell ref="B35:H35"/>
    <mergeCell ref="C36:D36"/>
    <mergeCell ref="E36:F36"/>
    <mergeCell ref="G36:H36"/>
    <mergeCell ref="I36:J36"/>
    <mergeCell ref="C37:D37"/>
    <mergeCell ref="E37:F37"/>
    <mergeCell ref="G37:H37"/>
    <mergeCell ref="I37:J37"/>
    <mergeCell ref="C38:D38"/>
    <mergeCell ref="E38:F38"/>
    <mergeCell ref="G38:H38"/>
    <mergeCell ref="I38:J38"/>
    <mergeCell ref="C39:D39"/>
    <mergeCell ref="E39:F39"/>
    <mergeCell ref="G39:H39"/>
    <mergeCell ref="I39:J39"/>
    <mergeCell ref="C40:D40"/>
    <mergeCell ref="E40:F40"/>
    <mergeCell ref="G40:H40"/>
    <mergeCell ref="I40:J40"/>
    <mergeCell ref="C41:D41"/>
    <mergeCell ref="E41:F41"/>
    <mergeCell ref="G41:H41"/>
    <mergeCell ref="I41:J41"/>
    <mergeCell ref="D46:J46"/>
    <mergeCell ref="D47:J47"/>
    <mergeCell ref="D48:J48"/>
    <mergeCell ref="D49:J49"/>
    <mergeCell ref="D50:J50"/>
    <mergeCell ref="D51:J51"/>
    <mergeCell ref="D52:J52"/>
    <mergeCell ref="D53:J53"/>
    <mergeCell ref="D54:J54"/>
    <mergeCell ref="D55:J55"/>
    <mergeCell ref="D56:J56"/>
    <mergeCell ref="D57:J57"/>
    <mergeCell ref="B47:B48"/>
    <mergeCell ref="B49:B51"/>
    <mergeCell ref="B52:B53"/>
    <mergeCell ref="A1:J4"/>
  </mergeCells>
  <dataValidations count="1">
    <dataValidation type="list" allowBlank="1" showInputMessage="1" showErrorMessage="1" sqref="B18:C18">
      <formula1>"Best case,Base case,Worst case"</formula1>
    </dataValidation>
  </dataValidations>
  <hyperlinks>
    <hyperlink ref="C12" r:id="rId2" display="https://www.airtel.in"/>
    <hyperlink ref="D31" r:id="rId3" display="0.06707"/>
  </hyperlinks>
  <pageMargins left="0.75" right="0.75" top="1" bottom="1"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M55"/>
  <sheetViews>
    <sheetView showGridLines="0" workbookViewId="0">
      <pane xSplit="2" ySplit="9" topLeftCell="C10" activePane="bottomRight" state="frozen"/>
      <selection/>
      <selection pane="topRight"/>
      <selection pane="bottomLeft"/>
      <selection pane="bottomRight" activeCell="B6" sqref="B6"/>
    </sheetView>
  </sheetViews>
  <sheetFormatPr defaultColWidth="8.89814814814815" defaultRowHeight="14.4"/>
  <cols>
    <col min="1" max="1" width="2.76851851851852" style="1" customWidth="1"/>
    <col min="2" max="2" width="31.2314814814815" style="1" customWidth="1"/>
    <col min="3" max="7" width="15.1111111111111" style="1" customWidth="1"/>
    <col min="8" max="8" width="20" style="1" customWidth="1"/>
  </cols>
  <sheetData>
    <row r="1" ht="14.25" customHeight="1" spans="1:13">
      <c r="A1" s="2" t="s">
        <v>84</v>
      </c>
      <c r="B1" s="2"/>
      <c r="C1" s="2"/>
      <c r="D1" s="2"/>
      <c r="E1" s="2"/>
      <c r="F1" s="2"/>
      <c r="G1" s="2"/>
      <c r="H1" s="2"/>
      <c r="I1" s="2"/>
      <c r="J1" s="2"/>
    </row>
    <row r="2" ht="14.25" customHeight="1" spans="1:13">
      <c r="A2" s="2"/>
      <c r="B2" s="2"/>
      <c r="C2" s="2"/>
      <c r="D2" s="2"/>
      <c r="E2" s="2"/>
      <c r="F2" s="2"/>
      <c r="G2" s="2"/>
      <c r="H2" s="2"/>
      <c r="I2" s="2"/>
      <c r="J2" s="2"/>
    </row>
    <row r="3" ht="14.25" customHeight="1" spans="1:13">
      <c r="A3" s="2"/>
      <c r="B3" s="2"/>
      <c r="C3" s="2"/>
      <c r="D3" s="2"/>
      <c r="E3" s="2"/>
      <c r="F3" s="2"/>
      <c r="G3" s="2"/>
      <c r="H3" s="2"/>
      <c r="I3" s="2"/>
      <c r="J3" s="2"/>
    </row>
    <row r="4" ht="14.25" customHeight="1" spans="1:13">
      <c r="A4" s="2"/>
      <c r="B4" s="2"/>
      <c r="C4" s="2"/>
      <c r="D4" s="2"/>
      <c r="E4" s="2"/>
      <c r="F4" s="2"/>
      <c r="G4" s="2"/>
      <c r="H4" s="2"/>
      <c r="I4" s="2"/>
      <c r="J4" s="2"/>
    </row>
    <row r="6" ht="14.25" customHeight="1" spans="1:13">
      <c r="B6" s="617"/>
      <c r="C6" s="617"/>
      <c r="D6" s="8"/>
      <c r="E6" s="8"/>
      <c r="F6" s="618" t="s">
        <v>51</v>
      </c>
      <c r="G6" s="618"/>
    </row>
    <row r="7" ht="15" customHeight="1" spans="1:13">
      <c r="B7" s="619" t="s">
        <v>2</v>
      </c>
      <c r="C7" s="620"/>
      <c r="D7" s="620"/>
      <c r="E7" s="620"/>
      <c r="F7" s="620"/>
      <c r="G7" s="621"/>
    </row>
    <row r="8" ht="14.25" customHeight="1" spans="1:13">
      <c r="B8" s="5" t="s">
        <v>39</v>
      </c>
      <c r="C8" s="5">
        <v>2022</v>
      </c>
      <c r="D8" s="5">
        <f>C8+1</f>
        <v>2023</v>
      </c>
      <c r="E8" s="5">
        <f>D8+1</f>
        <v>2024</v>
      </c>
      <c r="F8" s="5">
        <f>E8+1</f>
        <v>2025</v>
      </c>
      <c r="G8" s="5">
        <f>F8+1</f>
        <v>2026</v>
      </c>
    </row>
    <row r="9" ht="14.25" customHeight="1" spans="1:13">
      <c r="B9" s="622"/>
      <c r="C9" s="6" t="s">
        <v>85</v>
      </c>
      <c r="D9" s="6" t="s">
        <v>85</v>
      </c>
      <c r="E9" s="6" t="s">
        <v>85</v>
      </c>
      <c r="F9" s="6" t="s">
        <v>85</v>
      </c>
      <c r="G9" s="6" t="s">
        <v>85</v>
      </c>
      <c r="H9" s="571"/>
      <c r="I9" s="604"/>
      <c r="J9" s="604"/>
      <c r="K9" s="604"/>
      <c r="L9" s="604"/>
      <c r="M9" s="604"/>
    </row>
    <row r="10" ht="14.25" customHeight="1" spans="1:13">
      <c r="B10" s="185"/>
      <c r="C10" s="185"/>
      <c r="D10" s="186"/>
      <c r="E10" s="186"/>
      <c r="F10" s="186"/>
      <c r="G10" s="186"/>
      <c r="H10" s="123"/>
      <c r="I10" s="605"/>
      <c r="J10" s="605"/>
      <c r="K10" s="605"/>
      <c r="L10" s="605"/>
      <c r="M10" s="605"/>
    </row>
    <row r="11" ht="27.75" customHeight="1" spans="1:13">
      <c r="B11" s="449" t="s">
        <v>86</v>
      </c>
      <c r="C11" s="623">
        <v>1165469</v>
      </c>
      <c r="D11" s="623">
        <v>1391448</v>
      </c>
      <c r="E11" s="623">
        <v>1499824</v>
      </c>
      <c r="F11" s="623">
        <v>1729852</v>
      </c>
      <c r="G11" s="623">
        <v>2109728</v>
      </c>
      <c r="H11" s="123"/>
      <c r="I11" s="605"/>
      <c r="J11" s="605"/>
      <c r="K11" s="605"/>
      <c r="L11" s="605"/>
      <c r="M11" s="605"/>
    </row>
    <row r="12" ht="18" customHeight="1" spans="1:13">
      <c r="B12" s="449" t="s">
        <v>87</v>
      </c>
      <c r="C12" s="623">
        <v>5343</v>
      </c>
      <c r="D12" s="623">
        <v>9366</v>
      </c>
      <c r="E12" s="623">
        <v>14354</v>
      </c>
      <c r="F12" s="623">
        <v>15737</v>
      </c>
      <c r="G12" s="623">
        <v>28173</v>
      </c>
      <c r="H12" s="124"/>
      <c r="I12" s="593"/>
      <c r="J12" s="593"/>
      <c r="K12" s="593"/>
      <c r="L12" s="593"/>
      <c r="M12" s="593"/>
    </row>
    <row r="13" ht="14.25" customHeight="1" spans="1:13">
      <c r="B13" s="449"/>
      <c r="C13" s="10"/>
      <c r="D13" s="10"/>
      <c r="E13" s="10"/>
      <c r="F13" s="10"/>
      <c r="G13" s="10"/>
      <c r="H13" s="124"/>
      <c r="I13" s="536"/>
      <c r="J13" s="536"/>
      <c r="K13" s="536"/>
      <c r="L13" s="536"/>
      <c r="M13" s="536"/>
    </row>
    <row r="14" ht="18.75" customHeight="1" spans="1:13">
      <c r="B14" s="534" t="s">
        <v>88</v>
      </c>
      <c r="C14" s="624">
        <f>SUM(C11:C12)</f>
        <v>1170812</v>
      </c>
      <c r="D14" s="624">
        <f>SUM(D11:D12)</f>
        <v>1400814</v>
      </c>
      <c r="E14" s="624">
        <f>SUM(E11:E12)</f>
        <v>1514178</v>
      </c>
      <c r="F14" s="624">
        <f>SUM(F11:F12)</f>
        <v>1745589</v>
      </c>
      <c r="G14" s="624">
        <f>SUM(G11:G12)</f>
        <v>2137901</v>
      </c>
      <c r="H14" s="123"/>
      <c r="I14" s="605"/>
      <c r="J14" s="605"/>
      <c r="K14" s="605"/>
      <c r="L14" s="605"/>
      <c r="M14" s="605"/>
    </row>
    <row r="15" ht="14.25" customHeight="1" spans="1:13">
      <c r="B15" s="449"/>
      <c r="C15" s="449"/>
      <c r="D15" s="10"/>
      <c r="E15" s="10"/>
      <c r="F15" s="10"/>
      <c r="G15" s="10"/>
      <c r="H15" s="123"/>
      <c r="I15" s="605"/>
      <c r="J15" s="605"/>
      <c r="K15" s="605"/>
      <c r="L15" s="605"/>
      <c r="M15" s="605"/>
    </row>
    <row r="16" ht="15.75" customHeight="1" spans="1:13">
      <c r="B16" s="532" t="s">
        <v>89</v>
      </c>
      <c r="C16" s="532"/>
      <c r="D16" s="55"/>
      <c r="E16" s="55"/>
      <c r="F16" s="55"/>
      <c r="G16" s="55"/>
      <c r="H16" s="123"/>
      <c r="I16" s="605"/>
      <c r="J16" s="605"/>
      <c r="K16" s="605"/>
      <c r="L16" s="605"/>
      <c r="M16" s="605"/>
    </row>
    <row r="17" ht="15" customHeight="1" spans="2:13">
      <c r="B17" s="449" t="s">
        <v>90</v>
      </c>
      <c r="C17" s="625">
        <v>250205</v>
      </c>
      <c r="D17" s="625">
        <v>285433</v>
      </c>
      <c r="E17" s="625">
        <v>300188</v>
      </c>
      <c r="F17" s="625">
        <v>335043</v>
      </c>
      <c r="G17" s="625">
        <v>397500</v>
      </c>
      <c r="H17" s="123"/>
      <c r="I17" s="605"/>
      <c r="J17" s="605"/>
      <c r="K17" s="605"/>
      <c r="L17" s="605"/>
      <c r="M17" s="605"/>
    </row>
    <row r="18" ht="14.25" customHeight="1" spans="2:13">
      <c r="B18" s="449" t="s">
        <v>91</v>
      </c>
      <c r="C18" s="625">
        <v>67611</v>
      </c>
      <c r="D18" s="625">
        <v>76207</v>
      </c>
      <c r="E18" s="625">
        <v>75185</v>
      </c>
      <c r="F18" s="625">
        <v>71713</v>
      </c>
      <c r="G18" s="625">
        <v>55416</v>
      </c>
      <c r="H18" s="123"/>
      <c r="I18" s="605"/>
      <c r="J18" s="605"/>
      <c r="K18" s="605"/>
      <c r="L18" s="605"/>
      <c r="M18" s="605"/>
    </row>
    <row r="19" ht="12.75" customHeight="1" spans="2:13">
      <c r="B19" s="449" t="s">
        <v>92</v>
      </c>
      <c r="C19" s="625">
        <v>110636</v>
      </c>
      <c r="D19" s="625">
        <v>117517</v>
      </c>
      <c r="E19" s="625">
        <v>120358</v>
      </c>
      <c r="F19" s="625">
        <v>138290</v>
      </c>
      <c r="G19" s="625">
        <v>153729</v>
      </c>
      <c r="H19" s="123"/>
      <c r="I19" s="605"/>
      <c r="J19" s="605"/>
      <c r="K19" s="605"/>
      <c r="L19" s="605"/>
      <c r="M19" s="605"/>
    </row>
    <row r="20" ht="14.25" customHeight="1" spans="2:13">
      <c r="B20" s="449" t="s">
        <v>93</v>
      </c>
      <c r="C20" s="625">
        <v>44333</v>
      </c>
      <c r="D20" s="625">
        <v>48308</v>
      </c>
      <c r="E20" s="625">
        <v>53231</v>
      </c>
      <c r="F20" s="625">
        <v>63089</v>
      </c>
      <c r="G20" s="625">
        <v>75813</v>
      </c>
      <c r="H20" s="124"/>
      <c r="I20" s="593"/>
      <c r="J20" s="593"/>
      <c r="K20" s="593"/>
      <c r="L20" s="593"/>
      <c r="M20" s="593"/>
    </row>
    <row r="21" ht="13.5" customHeight="1" spans="2:13">
      <c r="B21" s="449" t="s">
        <v>94</v>
      </c>
      <c r="C21" s="625">
        <v>53035</v>
      </c>
      <c r="D21" s="625">
        <v>72454</v>
      </c>
      <c r="E21" s="625">
        <v>107882</v>
      </c>
      <c r="F21" s="625">
        <v>114601</v>
      </c>
      <c r="G21" s="625">
        <v>131073</v>
      </c>
      <c r="H21" s="124"/>
      <c r="I21" s="593"/>
      <c r="J21" s="593"/>
      <c r="K21" s="593"/>
      <c r="L21" s="593"/>
      <c r="M21" s="593"/>
    </row>
    <row r="22" ht="14.25" customHeight="1" spans="2:13">
      <c r="B22" s="449" t="s">
        <v>95</v>
      </c>
      <c r="C22" s="625">
        <v>64310</v>
      </c>
      <c r="D22" s="625">
        <v>78794</v>
      </c>
      <c r="E22" s="625">
        <v>60062</v>
      </c>
      <c r="F22" s="625">
        <v>75524</v>
      </c>
      <c r="G22" s="625">
        <v>99452</v>
      </c>
      <c r="H22" s="123"/>
      <c r="I22" s="605"/>
      <c r="J22" s="605"/>
      <c r="K22" s="605"/>
      <c r="L22" s="605"/>
      <c r="M22" s="605"/>
    </row>
    <row r="23" ht="14.25" customHeight="1" spans="2:13">
      <c r="B23" s="449"/>
      <c r="C23" s="449"/>
      <c r="D23" s="10"/>
      <c r="E23" s="10"/>
      <c r="F23" s="10"/>
      <c r="G23" s="10"/>
      <c r="H23" s="123"/>
      <c r="I23" s="605"/>
      <c r="J23" s="605"/>
      <c r="K23" s="605"/>
      <c r="L23" s="605"/>
      <c r="M23" s="605"/>
    </row>
    <row r="24" ht="18.75" customHeight="1" spans="2:13">
      <c r="B24" s="534" t="s">
        <v>96</v>
      </c>
      <c r="C24" s="15">
        <f>SUM(C17:C23)</f>
        <v>590130</v>
      </c>
      <c r="D24" s="15">
        <f>SUM(D17:D23)</f>
        <v>678713</v>
      </c>
      <c r="E24" s="15">
        <f>SUM(E17:E23)</f>
        <v>716906</v>
      </c>
      <c r="F24" s="15">
        <f>SUM(F17:F23)</f>
        <v>798260</v>
      </c>
      <c r="G24" s="15">
        <f>SUM(G17:G23)</f>
        <v>912983</v>
      </c>
      <c r="H24" s="123"/>
      <c r="I24" s="605"/>
      <c r="J24" s="605"/>
      <c r="K24" s="605"/>
      <c r="L24" s="605"/>
      <c r="M24" s="605"/>
    </row>
    <row r="25" ht="18.75" customHeight="1" spans="2:13">
      <c r="B25" s="449"/>
      <c r="C25" s="10"/>
      <c r="D25" s="10"/>
      <c r="E25" s="10"/>
      <c r="F25" s="10"/>
      <c r="G25" s="10"/>
      <c r="H25" s="124"/>
      <c r="I25" s="593"/>
      <c r="J25" s="593"/>
      <c r="K25" s="593"/>
      <c r="L25" s="593"/>
      <c r="M25" s="593"/>
    </row>
    <row r="26" ht="14.25" customHeight="1" spans="2:13">
      <c r="B26" s="532" t="s">
        <v>97</v>
      </c>
      <c r="C26" s="55">
        <f>C14-C24</f>
        <v>580682</v>
      </c>
      <c r="D26" s="55">
        <f>D14-D24</f>
        <v>722101</v>
      </c>
      <c r="E26" s="55">
        <f>E14-E24</f>
        <v>797272</v>
      </c>
      <c r="F26" s="55">
        <f>F14-F24</f>
        <v>947329</v>
      </c>
      <c r="G26" s="55">
        <f>G14-G24</f>
        <v>1224918</v>
      </c>
      <c r="H26" s="123"/>
      <c r="I26" s="605"/>
      <c r="J26" s="605"/>
      <c r="K26" s="605"/>
      <c r="L26" s="605"/>
      <c r="M26" s="605"/>
    </row>
    <row r="27" ht="14.25" customHeight="1" spans="2:13">
      <c r="B27" s="449"/>
      <c r="C27" s="10"/>
      <c r="D27" s="10"/>
      <c r="E27" s="10"/>
      <c r="F27" s="10"/>
      <c r="G27" s="10"/>
      <c r="H27" s="124"/>
      <c r="I27" s="593"/>
      <c r="J27" s="593"/>
      <c r="K27" s="593"/>
      <c r="L27" s="593"/>
      <c r="M27" s="593"/>
    </row>
    <row r="28" ht="18" customHeight="1" spans="2:13">
      <c r="B28" s="449" t="s">
        <v>98</v>
      </c>
      <c r="C28" s="626">
        <v>330907</v>
      </c>
      <c r="D28" s="626">
        <v>364318</v>
      </c>
      <c r="E28" s="626">
        <v>395376</v>
      </c>
      <c r="F28" s="626">
        <v>455703</v>
      </c>
      <c r="G28" s="626">
        <v>527108</v>
      </c>
      <c r="H28" s="123"/>
      <c r="I28" s="605"/>
      <c r="J28" s="605"/>
      <c r="K28" s="605"/>
      <c r="L28" s="605"/>
      <c r="M28" s="605"/>
    </row>
    <row r="29" ht="12" customHeight="1" spans="2:13">
      <c r="B29" s="449"/>
      <c r="C29" s="10"/>
      <c r="D29" s="10"/>
      <c r="E29" s="10"/>
      <c r="F29" s="10"/>
      <c r="G29" s="10"/>
      <c r="H29" s="123"/>
      <c r="I29" s="605"/>
      <c r="J29" s="605"/>
      <c r="K29" s="536"/>
      <c r="L29" s="605"/>
      <c r="M29" s="605"/>
    </row>
    <row r="30" ht="14.25" customHeight="1" spans="2:13">
      <c r="B30" s="532" t="s">
        <v>99</v>
      </c>
      <c r="C30" s="55">
        <f>C26-C28</f>
        <v>249775</v>
      </c>
      <c r="D30" s="55">
        <f>D26-D28</f>
        <v>357783</v>
      </c>
      <c r="E30" s="55">
        <f>E26-E28</f>
        <v>401896</v>
      </c>
      <c r="F30" s="55">
        <f>F26-F28</f>
        <v>491626</v>
      </c>
      <c r="G30" s="55">
        <f>G26-G28</f>
        <v>697810</v>
      </c>
      <c r="H30" s="124"/>
      <c r="I30" s="593"/>
      <c r="J30" s="593"/>
      <c r="K30" s="593"/>
      <c r="L30" s="593"/>
      <c r="M30" s="593"/>
    </row>
    <row r="31" ht="13.5" customHeight="1" spans="2:13">
      <c r="B31" s="532"/>
      <c r="C31" s="55"/>
      <c r="D31" s="55"/>
      <c r="E31" s="55"/>
      <c r="F31" s="55"/>
      <c r="G31" s="55"/>
      <c r="H31" s="124"/>
      <c r="I31" s="593"/>
      <c r="J31" s="593"/>
      <c r="K31" s="593"/>
      <c r="L31" s="593"/>
      <c r="M31" s="593"/>
    </row>
    <row r="32" ht="14.25" customHeight="1" spans="2:13">
      <c r="B32" s="449" t="s">
        <v>100</v>
      </c>
      <c r="C32" s="626">
        <v>166162</v>
      </c>
      <c r="D32" s="626">
        <v>192999</v>
      </c>
      <c r="E32" s="626">
        <v>226477</v>
      </c>
      <c r="F32" s="626">
        <v>217539</v>
      </c>
      <c r="G32" s="626">
        <v>215553</v>
      </c>
    </row>
    <row r="33" ht="14.25" customHeight="1" spans="2:7">
      <c r="B33" s="125" t="s">
        <v>101</v>
      </c>
      <c r="C33" s="252">
        <v>-24232</v>
      </c>
      <c r="D33" s="252">
        <v>-7521</v>
      </c>
      <c r="E33" s="252">
        <v>-27094</v>
      </c>
      <c r="F33" s="252">
        <v>-37030</v>
      </c>
      <c r="G33" s="252">
        <v>-3645</v>
      </c>
    </row>
    <row r="34" ht="14.25" customHeight="1" spans="2:7">
      <c r="B34" s="449"/>
      <c r="C34" s="626"/>
      <c r="D34" s="626"/>
      <c r="E34" s="626"/>
      <c r="F34" s="626"/>
      <c r="G34" s="626"/>
    </row>
    <row r="35" ht="18" customHeight="1" spans="2:7">
      <c r="B35" s="533" t="s">
        <v>102</v>
      </c>
      <c r="C35" s="627">
        <f>C30-C32-C33</f>
        <v>107845</v>
      </c>
      <c r="D35" s="627">
        <f>D30-D32-D33</f>
        <v>172305</v>
      </c>
      <c r="E35" s="627">
        <f>E30-E32-E33</f>
        <v>202513</v>
      </c>
      <c r="F35" s="627">
        <f>F30-F32-F33</f>
        <v>311117</v>
      </c>
      <c r="G35" s="627">
        <f>G30-G32-G33</f>
        <v>485902</v>
      </c>
    </row>
    <row r="36" ht="14.25" customHeight="1" spans="2:7">
      <c r="B36" s="449"/>
      <c r="C36" s="65"/>
      <c r="D36" s="65"/>
      <c r="E36" s="65"/>
      <c r="F36" s="65"/>
      <c r="G36" s="65"/>
    </row>
    <row r="37" ht="14.25" customHeight="1" spans="2:7">
      <c r="B37" s="449" t="s">
        <v>103</v>
      </c>
      <c r="C37" s="252">
        <v>-16986</v>
      </c>
      <c r="D37" s="252">
        <v>6698</v>
      </c>
      <c r="E37" s="252">
        <v>75723</v>
      </c>
      <c r="F37" s="252">
        <v>-72868</v>
      </c>
      <c r="G37" s="252">
        <v>34175</v>
      </c>
    </row>
    <row r="38" ht="14.25" customHeight="1" spans="2:7">
      <c r="B38" s="449"/>
      <c r="C38" s="626"/>
      <c r="D38" s="626"/>
      <c r="E38" s="252"/>
      <c r="F38" s="252"/>
      <c r="G38" s="626"/>
    </row>
    <row r="39" ht="14.25" customHeight="1" spans="2:7">
      <c r="B39" s="532" t="s">
        <v>104</v>
      </c>
      <c r="C39" s="55">
        <f>C35-C37</f>
        <v>124831</v>
      </c>
      <c r="D39" s="55">
        <f>D35-D37</f>
        <v>165607</v>
      </c>
      <c r="E39" s="55">
        <f>E35-E37</f>
        <v>126790</v>
      </c>
      <c r="F39" s="55">
        <f>F35-F37</f>
        <v>383985</v>
      </c>
      <c r="G39" s="55">
        <f>G35-G37</f>
        <v>451727</v>
      </c>
    </row>
    <row r="40" ht="14.25" customHeight="1" spans="2:7">
      <c r="B40" s="449"/>
      <c r="C40" s="626"/>
      <c r="D40" s="626"/>
      <c r="E40" s="626"/>
      <c r="F40" s="626"/>
      <c r="G40" s="626"/>
    </row>
    <row r="41" ht="14.25" customHeight="1" spans="2:7">
      <c r="B41" s="449" t="s">
        <v>105</v>
      </c>
      <c r="C41" s="252">
        <v>41779</v>
      </c>
      <c r="D41" s="252">
        <v>42733</v>
      </c>
      <c r="E41" s="252">
        <v>41210</v>
      </c>
      <c r="F41" s="252">
        <v>9172</v>
      </c>
      <c r="G41" s="252">
        <v>113499</v>
      </c>
    </row>
    <row r="42" ht="14.25" customHeight="1" spans="2:7">
      <c r="B42" s="449"/>
      <c r="C42" s="10"/>
      <c r="D42" s="10"/>
      <c r="E42" s="10"/>
      <c r="F42" s="10"/>
      <c r="G42" s="10"/>
    </row>
    <row r="43" ht="14.25" customHeight="1" spans="2:7">
      <c r="B43" s="534" t="s">
        <v>106</v>
      </c>
      <c r="C43" s="15">
        <f>C39-C41</f>
        <v>83052</v>
      </c>
      <c r="D43" s="15">
        <f>D39-D41</f>
        <v>122874</v>
      </c>
      <c r="E43" s="15">
        <f>E39-E41</f>
        <v>85580</v>
      </c>
      <c r="F43" s="15">
        <f>F39-F41</f>
        <v>374813</v>
      </c>
      <c r="G43" s="15">
        <f>G39-G41</f>
        <v>338228</v>
      </c>
    </row>
    <row r="44" ht="14.25" customHeight="1" spans="2:7">
      <c r="B44" s="449"/>
      <c r="C44" s="449"/>
      <c r="D44" s="65"/>
      <c r="E44" s="65"/>
      <c r="F44" s="65"/>
      <c r="G44" s="65"/>
    </row>
    <row r="45" ht="14.25" customHeight="1" spans="2:7">
      <c r="B45" s="449"/>
      <c r="C45" s="449"/>
      <c r="D45" s="10"/>
      <c r="E45" s="10"/>
      <c r="F45" s="10"/>
      <c r="G45" s="10"/>
    </row>
    <row r="46" ht="14.25" customHeight="1" spans="2:7">
      <c r="B46" s="628" t="s">
        <v>107</v>
      </c>
      <c r="C46" s="628"/>
      <c r="D46" s="55"/>
      <c r="E46" s="55"/>
      <c r="F46" s="55"/>
      <c r="G46" s="55"/>
    </row>
    <row r="47" ht="14.25" customHeight="1" spans="2:7">
      <c r="B47" s="629" t="s">
        <v>108</v>
      </c>
      <c r="C47" s="630" t="s">
        <v>109</v>
      </c>
      <c r="D47" s="631">
        <f>D11/C11-1</f>
        <v>0.193895333123403</v>
      </c>
      <c r="E47" s="631">
        <f>E11/D11-1</f>
        <v>0.0778872081457589</v>
      </c>
      <c r="F47" s="631">
        <f>F11/E11-1</f>
        <v>0.153369995412795</v>
      </c>
      <c r="G47" s="631">
        <f>G11/F11-1</f>
        <v>0.219600289504536</v>
      </c>
    </row>
    <row r="48" ht="14.25" customHeight="1" spans="2:7">
      <c r="B48" s="629" t="s">
        <v>110</v>
      </c>
      <c r="C48" s="631">
        <f>C26/C14</f>
        <v>0.495965193387154</v>
      </c>
      <c r="D48" s="631">
        <f>D26/D14</f>
        <v>0.515486709870118</v>
      </c>
      <c r="E48" s="631">
        <f>E26/E14</f>
        <v>0.52653783108723</v>
      </c>
      <c r="F48" s="631">
        <f>F26/F14</f>
        <v>0.542698768152182</v>
      </c>
      <c r="G48" s="631">
        <f>G26/G14</f>
        <v>0.572953565202505</v>
      </c>
    </row>
    <row r="49" ht="14.25" customHeight="1" spans="2:7">
      <c r="B49" s="629" t="s">
        <v>111</v>
      </c>
      <c r="C49" s="631">
        <f>C30/C14</f>
        <v>0.213334847951678</v>
      </c>
      <c r="D49" s="631">
        <f>D30/D14</f>
        <v>0.255410782587838</v>
      </c>
      <c r="E49" s="631">
        <f>E30/E14</f>
        <v>0.265421898878467</v>
      </c>
      <c r="F49" s="631">
        <f>F30/F14</f>
        <v>0.281639034159817</v>
      </c>
      <c r="G49" s="631">
        <f>G30/G14</f>
        <v>0.326399585387724</v>
      </c>
    </row>
    <row r="50" ht="14.25" customHeight="1" spans="2:7">
      <c r="B50" s="629" t="s">
        <v>112</v>
      </c>
      <c r="C50" s="631">
        <f>C43/C14</f>
        <v>0.0709353850148444</v>
      </c>
      <c r="D50" s="631">
        <f>D43/D14</f>
        <v>0.0877161421859005</v>
      </c>
      <c r="E50" s="631">
        <f>E43/E14</f>
        <v>0.0565191146615523</v>
      </c>
      <c r="F50" s="631">
        <f>F43/F14</f>
        <v>0.2147200744276</v>
      </c>
      <c r="G50" s="631">
        <f>G43/G14</f>
        <v>0.158205641888937</v>
      </c>
    </row>
    <row r="51" ht="14.25" customHeight="1" spans="2:7">
      <c r="B51" s="629" t="s">
        <v>113</v>
      </c>
      <c r="C51" s="631">
        <f>C43/'BS Input'!C38</f>
        <v>0.0228380667443958</v>
      </c>
      <c r="D51" s="631">
        <f>D43/'BS Input'!D38</f>
        <v>0.027511165761972</v>
      </c>
      <c r="E51" s="631">
        <f>E43/'BS Input'!E38</f>
        <v>0.019251750721547</v>
      </c>
      <c r="F51" s="631">
        <f>F43/'BS Input'!F38</f>
        <v>0.0728697232524121</v>
      </c>
      <c r="G51" s="631">
        <f>G43/'BS Input'!G38</f>
        <v>0.0612563650997299</v>
      </c>
    </row>
    <row r="52" ht="14.25" customHeight="1" spans="2:7">
      <c r="B52" s="629" t="s">
        <v>114</v>
      </c>
      <c r="C52" s="416">
        <f>C11/'BS Input'!C38</f>
        <v>0.320486668719889</v>
      </c>
      <c r="D52" s="416">
        <f>D11/'BS Input'!D38</f>
        <v>0.311541551322204</v>
      </c>
      <c r="E52" s="416">
        <f>E11/'BS Input'!E38</f>
        <v>0.337394692383658</v>
      </c>
      <c r="F52" s="416">
        <f>F11/'BS Input'!F38</f>
        <v>0.336311271240943</v>
      </c>
      <c r="G52" s="416">
        <f>G11/'BS Input'!G38</f>
        <v>0.382092164543216</v>
      </c>
    </row>
    <row r="53" ht="14.25" customHeight="1" spans="2:7">
      <c r="B53" s="629" t="s">
        <v>115</v>
      </c>
      <c r="C53" s="616">
        <f>'BS Input'!C38/'BS Input'!C45</f>
        <v>3.95557731005602</v>
      </c>
      <c r="D53" s="616">
        <f>'BS Input'!D38/'BS Input'!D45</f>
        <v>4.19593346003497</v>
      </c>
      <c r="E53" s="616">
        <f>'BS Input'!E38/'BS Input'!E45</f>
        <v>4.21101342409668</v>
      </c>
      <c r="F53" s="616">
        <f>'BS Input'!F38/'BS Input'!F45</f>
        <v>3.35158733727032</v>
      </c>
      <c r="G53" s="616">
        <f>'BS Input'!G38/'BS Input'!G45</f>
        <v>2.81762614855631</v>
      </c>
    </row>
    <row r="54" ht="14.25" customHeight="1" spans="2:7">
      <c r="B54" s="629" t="s">
        <v>116</v>
      </c>
      <c r="C54" s="631">
        <f>C50*C52*C53</f>
        <v>0.0899254823928489</v>
      </c>
      <c r="D54" s="631">
        <f>D50*D52*D53</f>
        <v>0.114663209408382</v>
      </c>
      <c r="E54" s="631">
        <f>E50*E52*E53</f>
        <v>0.0803008648109326</v>
      </c>
      <c r="F54" s="631">
        <f>F50*F52*F53</f>
        <v>0.242027443031161</v>
      </c>
      <c r="G54" s="631">
        <f>G50*G52*G53</f>
        <v>0.170323066680341</v>
      </c>
    </row>
    <row r="55" ht="14.25" customHeight="1" spans="2:7">
      <c r="B55" s="449"/>
      <c r="C55" s="449"/>
      <c r="D55" s="10"/>
      <c r="E55" s="10"/>
      <c r="F55" s="10"/>
      <c r="G55" s="10"/>
    </row>
  </sheetData>
  <mergeCells count="2">
    <mergeCell ref="F6:G6"/>
    <mergeCell ref="A1:J4"/>
  </mergeCells>
  <pageMargins left="0.75" right="0.75" top="1" bottom="1"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J85"/>
  <sheetViews>
    <sheetView showGridLines="0" workbookViewId="0">
      <pane xSplit="2" ySplit="7" topLeftCell="C8" activePane="bottomRight" state="frozen"/>
      <selection/>
      <selection pane="topRight"/>
      <selection pane="bottomLeft"/>
      <selection pane="bottomRight" activeCell="B6" sqref="B6"/>
    </sheetView>
  </sheetViews>
  <sheetFormatPr defaultColWidth="8.89814814814815" defaultRowHeight="14.4"/>
  <cols>
    <col min="1" max="1" width="2.33333333333333" style="1" customWidth="1"/>
    <col min="2" max="2" width="48.7777777777778" style="1" customWidth="1"/>
    <col min="3" max="7" width="17.3333333333333" style="1" customWidth="1"/>
  </cols>
  <sheetData>
    <row r="1" ht="14.25" customHeight="1" spans="1:10">
      <c r="A1" s="2" t="s">
        <v>84</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5" ht="14.25" customHeight="1" spans="1:10">
      <c r="B5" s="576" t="s">
        <v>117</v>
      </c>
    </row>
    <row r="6" ht="14.25" customHeight="1" spans="1:10">
      <c r="B6" s="577"/>
      <c r="C6" s="578"/>
      <c r="D6" s="578"/>
      <c r="E6" s="578"/>
      <c r="F6" s="578"/>
      <c r="G6" s="579" t="s">
        <v>51</v>
      </c>
    </row>
    <row r="7" ht="23.25" customHeight="1" spans="1:10">
      <c r="B7" s="580" t="s">
        <v>39</v>
      </c>
      <c r="C7" s="581">
        <v>2022</v>
      </c>
      <c r="D7" s="581">
        <v>2023</v>
      </c>
      <c r="E7" s="581">
        <v>2024</v>
      </c>
      <c r="F7" s="581">
        <v>2025</v>
      </c>
      <c r="G7" s="582">
        <v>2026</v>
      </c>
    </row>
    <row r="8" ht="21.75" customHeight="1" spans="1:10">
      <c r="B8" s="251" t="s">
        <v>118</v>
      </c>
      <c r="C8" s="536"/>
      <c r="D8" s="536"/>
      <c r="E8" s="536"/>
      <c r="F8" s="536"/>
      <c r="G8" s="583"/>
    </row>
    <row r="9" ht="21.75" customHeight="1" spans="1:10">
      <c r="B9" s="251" t="s">
        <v>119</v>
      </c>
      <c r="C9" s="536"/>
      <c r="D9" s="536"/>
      <c r="E9" s="536"/>
      <c r="F9" s="536"/>
      <c r="G9" s="583"/>
    </row>
    <row r="10" ht="21.75" customHeight="1" spans="1:10">
      <c r="B10" s="255" t="s">
        <v>120</v>
      </c>
      <c r="C10" s="584">
        <v>905725</v>
      </c>
      <c r="D10" s="584">
        <v>952241</v>
      </c>
      <c r="E10" s="584">
        <v>1066121</v>
      </c>
      <c r="F10" s="584">
        <v>1432724</v>
      </c>
      <c r="G10" s="585">
        <v>1570659</v>
      </c>
    </row>
    <row r="11" ht="21.75" customHeight="1" spans="1:10">
      <c r="B11" s="255" t="s">
        <v>121</v>
      </c>
      <c r="C11" s="584">
        <v>42386</v>
      </c>
      <c r="D11" s="584">
        <v>110293</v>
      </c>
      <c r="E11" s="584">
        <v>89077</v>
      </c>
      <c r="F11" s="584">
        <v>105962</v>
      </c>
      <c r="G11" s="585">
        <v>126131</v>
      </c>
    </row>
    <row r="12" ht="21.75" customHeight="1" spans="1:10">
      <c r="B12" s="255" t="s">
        <v>122</v>
      </c>
      <c r="C12" s="584">
        <v>322286</v>
      </c>
      <c r="D12" s="584">
        <v>546466</v>
      </c>
      <c r="E12" s="584">
        <v>559367</v>
      </c>
      <c r="F12" s="584">
        <v>602415</v>
      </c>
      <c r="G12" s="585">
        <v>673244</v>
      </c>
    </row>
    <row r="13" ht="21.75" customHeight="1" spans="1:10">
      <c r="B13" s="255" t="s">
        <v>123</v>
      </c>
      <c r="C13" s="584">
        <v>338313</v>
      </c>
      <c r="D13" s="584">
        <v>337741</v>
      </c>
      <c r="E13" s="584">
        <v>265017</v>
      </c>
      <c r="F13" s="584">
        <v>516974</v>
      </c>
      <c r="G13" s="585">
        <v>566859</v>
      </c>
    </row>
    <row r="14" ht="21.75" customHeight="1" spans="1:10">
      <c r="B14" s="255" t="s">
        <v>124</v>
      </c>
      <c r="C14" s="584">
        <v>874509</v>
      </c>
      <c r="D14" s="584">
        <v>937490</v>
      </c>
      <c r="E14" s="584">
        <v>1142526</v>
      </c>
      <c r="F14" s="584">
        <v>1332569</v>
      </c>
      <c r="G14" s="585">
        <v>1252604</v>
      </c>
    </row>
    <row r="15" ht="21.75" customHeight="1" spans="1:10">
      <c r="B15" s="255" t="s">
        <v>125</v>
      </c>
      <c r="C15" s="584">
        <v>17161</v>
      </c>
      <c r="D15" s="584">
        <v>383961</v>
      </c>
      <c r="E15" s="584">
        <v>79964</v>
      </c>
      <c r="F15" s="584">
        <v>4027</v>
      </c>
      <c r="G15" s="585">
        <v>3250</v>
      </c>
    </row>
    <row r="16" ht="21.75" customHeight="1" spans="1:10">
      <c r="B16" s="255" t="s">
        <v>126</v>
      </c>
      <c r="C16" s="584">
        <v>284268</v>
      </c>
      <c r="D16" s="584">
        <v>281838</v>
      </c>
      <c r="E16" s="584">
        <v>312404</v>
      </c>
      <c r="F16" s="584">
        <v>36416</v>
      </c>
      <c r="G16" s="585">
        <v>40622</v>
      </c>
    </row>
    <row r="17" ht="21.75" customHeight="1" spans="2:7">
      <c r="B17" s="586" t="s">
        <v>127</v>
      </c>
      <c r="C17" s="584"/>
      <c r="D17" s="584"/>
      <c r="E17" s="584"/>
      <c r="F17" s="584"/>
      <c r="G17" s="585"/>
    </row>
    <row r="18" ht="21.75" customHeight="1" spans="2:7">
      <c r="B18" s="587" t="s">
        <v>128</v>
      </c>
      <c r="C18" s="551">
        <v>609</v>
      </c>
      <c r="D18" s="551">
        <v>656</v>
      </c>
      <c r="E18" s="551">
        <v>924</v>
      </c>
      <c r="F18" s="584">
        <v>5435</v>
      </c>
      <c r="G18" s="585">
        <v>11385</v>
      </c>
    </row>
    <row r="19" ht="21.75" customHeight="1" spans="2:7">
      <c r="B19" s="587" t="s">
        <v>129</v>
      </c>
      <c r="C19" s="551">
        <v>218</v>
      </c>
      <c r="D19" s="551">
        <v>854</v>
      </c>
      <c r="E19" s="551">
        <v>65</v>
      </c>
      <c r="F19" s="584" t="s">
        <v>109</v>
      </c>
      <c r="G19" s="585" t="s">
        <v>109</v>
      </c>
    </row>
    <row r="20" ht="21.75" customHeight="1" spans="2:7">
      <c r="B20" s="587" t="s">
        <v>130</v>
      </c>
      <c r="C20" s="551"/>
      <c r="D20" s="551"/>
      <c r="E20" s="584">
        <v>1805</v>
      </c>
      <c r="F20" s="584">
        <v>2131</v>
      </c>
      <c r="G20" s="585">
        <v>2544</v>
      </c>
    </row>
    <row r="21" ht="21.75" customHeight="1" spans="2:7">
      <c r="B21" s="587" t="s">
        <v>131</v>
      </c>
      <c r="C21" s="551" t="s">
        <v>132</v>
      </c>
      <c r="D21" s="551" t="s">
        <v>132</v>
      </c>
      <c r="E21" s="584" t="s">
        <v>109</v>
      </c>
      <c r="F21" s="551">
        <v>865</v>
      </c>
      <c r="G21" s="552" t="s">
        <v>132</v>
      </c>
    </row>
    <row r="22" ht="21.75" customHeight="1" spans="2:7">
      <c r="B22" s="587" t="s">
        <v>133</v>
      </c>
      <c r="C22" s="584">
        <v>22515</v>
      </c>
      <c r="D22" s="584">
        <v>25963</v>
      </c>
      <c r="E22" s="584">
        <v>26557</v>
      </c>
      <c r="F22" s="584">
        <v>37471</v>
      </c>
      <c r="G22" s="585">
        <v>35700</v>
      </c>
    </row>
    <row r="23" ht="21.75" customHeight="1" spans="2:7">
      <c r="B23" s="255" t="s">
        <v>134</v>
      </c>
      <c r="C23" s="584">
        <v>17479</v>
      </c>
      <c r="D23" s="584">
        <v>20399</v>
      </c>
      <c r="E23" s="584">
        <v>14135</v>
      </c>
      <c r="F23" s="584">
        <v>24978</v>
      </c>
      <c r="G23" s="585">
        <v>20181</v>
      </c>
    </row>
    <row r="24" ht="21.75" customHeight="1" spans="2:7">
      <c r="B24" s="255" t="s">
        <v>135</v>
      </c>
      <c r="C24" s="584">
        <v>199250</v>
      </c>
      <c r="D24" s="584">
        <v>189519</v>
      </c>
      <c r="E24" s="584">
        <v>192428</v>
      </c>
      <c r="F24" s="584">
        <v>249111</v>
      </c>
      <c r="G24" s="585">
        <v>191413</v>
      </c>
    </row>
    <row r="25" ht="21.75" customHeight="1" spans="2:7">
      <c r="B25" s="255" t="s">
        <v>136</v>
      </c>
      <c r="C25" s="584">
        <v>91562</v>
      </c>
      <c r="D25" s="584">
        <v>103898</v>
      </c>
      <c r="E25" s="584">
        <v>112159</v>
      </c>
      <c r="F25" s="584">
        <v>116638</v>
      </c>
      <c r="G25" s="585">
        <v>124770</v>
      </c>
    </row>
    <row r="26" ht="21.75" customHeight="1" spans="2:7">
      <c r="B26" s="558" t="s">
        <v>137</v>
      </c>
      <c r="C26" s="545">
        <f>SUM(C10:C25)</f>
        <v>3116281</v>
      </c>
      <c r="D26" s="545">
        <f>SUM(D10:D25)</f>
        <v>3891319</v>
      </c>
      <c r="E26" s="545">
        <f>SUM(E10:E25)</f>
        <v>3862549</v>
      </c>
      <c r="F26" s="545">
        <f>SUM(F10:F25)</f>
        <v>4467716</v>
      </c>
      <c r="G26" s="588">
        <f>SUM(G10:G25)</f>
        <v>4619362</v>
      </c>
    </row>
    <row r="27" ht="21.75" customHeight="1" spans="2:7">
      <c r="B27" s="251" t="s">
        <v>138</v>
      </c>
      <c r="C27" s="536"/>
      <c r="D27" s="536"/>
      <c r="E27" s="536"/>
      <c r="F27" s="536"/>
      <c r="G27" s="583"/>
    </row>
    <row r="28" ht="21.75" customHeight="1" spans="2:7">
      <c r="B28" s="255" t="s">
        <v>139</v>
      </c>
      <c r="C28" s="584">
        <v>3750</v>
      </c>
      <c r="D28" s="584">
        <v>2576</v>
      </c>
      <c r="E28" s="584">
        <v>3639</v>
      </c>
      <c r="F28" s="584">
        <v>4517</v>
      </c>
      <c r="G28" s="585">
        <v>6009</v>
      </c>
    </row>
    <row r="29" ht="21.75" customHeight="1" spans="2:7">
      <c r="B29" s="255" t="s">
        <v>128</v>
      </c>
      <c r="C29" s="584">
        <v>8614</v>
      </c>
      <c r="D29" s="584">
        <v>47045</v>
      </c>
      <c r="E29" s="584">
        <v>2695</v>
      </c>
      <c r="F29" s="584">
        <v>16532</v>
      </c>
      <c r="G29" s="585">
        <v>137006</v>
      </c>
    </row>
    <row r="30" ht="21.75" customHeight="1" spans="2:7">
      <c r="B30" s="255" t="s">
        <v>140</v>
      </c>
      <c r="C30" s="551">
        <v>561</v>
      </c>
      <c r="D30" s="584">
        <v>1283</v>
      </c>
      <c r="E30" s="551">
        <v>1168</v>
      </c>
      <c r="F30" s="551">
        <v>813</v>
      </c>
      <c r="G30" s="585">
        <v>5040</v>
      </c>
    </row>
    <row r="31" ht="21.75" customHeight="1" spans="2:7">
      <c r="B31" s="255" t="s">
        <v>130</v>
      </c>
      <c r="C31" s="584">
        <v>40562</v>
      </c>
      <c r="D31" s="584">
        <v>39815</v>
      </c>
      <c r="E31" s="584">
        <v>47277</v>
      </c>
      <c r="F31" s="584">
        <v>74557</v>
      </c>
      <c r="G31" s="585">
        <v>79776</v>
      </c>
    </row>
    <row r="32" ht="21.75" customHeight="1" spans="2:7">
      <c r="B32" s="255" t="s">
        <v>141</v>
      </c>
      <c r="C32" s="584">
        <v>60959</v>
      </c>
      <c r="D32" s="584">
        <v>71794</v>
      </c>
      <c r="E32" s="584">
        <v>69155</v>
      </c>
      <c r="F32" s="584">
        <v>61056</v>
      </c>
      <c r="G32" s="585">
        <v>137222</v>
      </c>
    </row>
    <row r="33" ht="21.75" customHeight="1" spans="2:7">
      <c r="B33" s="255" t="s">
        <v>142</v>
      </c>
      <c r="C33" s="584">
        <v>73984</v>
      </c>
      <c r="D33" s="584">
        <v>62392</v>
      </c>
      <c r="E33" s="584">
        <v>94244</v>
      </c>
      <c r="F33" s="584">
        <v>106143</v>
      </c>
      <c r="G33" s="585">
        <v>166546</v>
      </c>
    </row>
    <row r="34" ht="21.75" customHeight="1" spans="2:7">
      <c r="B34" s="255" t="s">
        <v>133</v>
      </c>
      <c r="C34" s="584">
        <v>214697</v>
      </c>
      <c r="D34" s="584">
        <v>220865</v>
      </c>
      <c r="E34" s="584">
        <v>249544</v>
      </c>
      <c r="F34" s="584">
        <v>267662</v>
      </c>
      <c r="G34" s="585">
        <v>244264</v>
      </c>
    </row>
    <row r="35" ht="21.75" customHeight="1" spans="2:7">
      <c r="B35" s="255" t="s">
        <v>143</v>
      </c>
      <c r="C35" s="584">
        <v>117152</v>
      </c>
      <c r="D35" s="584">
        <v>129243</v>
      </c>
      <c r="E35" s="584">
        <v>115039</v>
      </c>
      <c r="F35" s="584">
        <v>144608</v>
      </c>
      <c r="G35" s="585">
        <v>125718</v>
      </c>
    </row>
    <row r="36" ht="21.75" customHeight="1" spans="2:7">
      <c r="B36" s="255" t="s">
        <v>144</v>
      </c>
      <c r="C36" s="551" t="s">
        <v>132</v>
      </c>
      <c r="D36" s="551" t="s">
        <v>132</v>
      </c>
      <c r="E36" s="551" t="s">
        <v>132</v>
      </c>
      <c r="F36" s="551" t="s">
        <v>132</v>
      </c>
      <c r="G36" s="552">
        <v>573</v>
      </c>
    </row>
    <row r="37" ht="21.75" customHeight="1" spans="2:7">
      <c r="B37" s="558" t="s">
        <v>145</v>
      </c>
      <c r="C37" s="545">
        <f>SUM(C28:C36)</f>
        <v>520279</v>
      </c>
      <c r="D37" s="545">
        <f>SUM(D28:D36)</f>
        <v>575013</v>
      </c>
      <c r="E37" s="545">
        <f>SUM(E28:E36)</f>
        <v>582761</v>
      </c>
      <c r="F37" s="545">
        <f>SUM(F28:F36)</f>
        <v>675888</v>
      </c>
      <c r="G37" s="588">
        <f>SUM(G28:G36)</f>
        <v>902154</v>
      </c>
    </row>
    <row r="38" ht="21.75" customHeight="1" spans="2:7">
      <c r="B38" s="589" t="s">
        <v>146</v>
      </c>
      <c r="C38" s="547">
        <f>C26+C37</f>
        <v>3636560</v>
      </c>
      <c r="D38" s="547">
        <f>D26+D37</f>
        <v>4466332</v>
      </c>
      <c r="E38" s="547">
        <f>E26+E37</f>
        <v>4445310</v>
      </c>
      <c r="F38" s="547">
        <f>F26+F37</f>
        <v>5143604</v>
      </c>
      <c r="G38" s="590">
        <f>G26+G37</f>
        <v>5521516</v>
      </c>
    </row>
    <row r="39" ht="21.75" customHeight="1" spans="2:7">
      <c r="B39" s="255"/>
      <c r="C39" s="536"/>
      <c r="D39" s="536"/>
      <c r="E39" s="591"/>
      <c r="F39" s="536"/>
      <c r="G39" s="592"/>
    </row>
    <row r="40" ht="21.75" customHeight="1" spans="2:7">
      <c r="B40" s="251" t="s">
        <v>147</v>
      </c>
      <c r="C40" s="551"/>
      <c r="D40" s="551"/>
      <c r="E40" s="551"/>
      <c r="F40" s="551"/>
      <c r="G40" s="552"/>
    </row>
    <row r="41" ht="21.75" customHeight="1" spans="2:7">
      <c r="B41" s="255" t="s">
        <v>148</v>
      </c>
      <c r="C41" s="584">
        <v>27950</v>
      </c>
      <c r="D41" s="584">
        <v>28366</v>
      </c>
      <c r="E41" s="584">
        <v>28766</v>
      </c>
      <c r="F41" s="584">
        <v>29001</v>
      </c>
      <c r="G41" s="585">
        <v>30468</v>
      </c>
    </row>
    <row r="42" ht="21.75" customHeight="1" spans="2:7">
      <c r="B42" s="255" t="s">
        <v>149</v>
      </c>
      <c r="C42" s="584">
        <v>637593</v>
      </c>
      <c r="D42" s="584">
        <v>747263</v>
      </c>
      <c r="E42" s="584">
        <v>791422</v>
      </c>
      <c r="F42" s="584">
        <v>1107718</v>
      </c>
      <c r="G42" s="585">
        <v>1460098</v>
      </c>
    </row>
    <row r="43" ht="21.75" customHeight="1" spans="2:7">
      <c r="B43" s="251" t="s">
        <v>150</v>
      </c>
      <c r="C43" s="593">
        <f>SUM(C41:C42)</f>
        <v>665543</v>
      </c>
      <c r="D43" s="593">
        <f>SUM(D41:D42)</f>
        <v>775629</v>
      </c>
      <c r="E43" s="593">
        <f>SUM(E41:E42)</f>
        <v>820188</v>
      </c>
      <c r="F43" s="593">
        <f>SUM(F41:F42)</f>
        <v>1136719</v>
      </c>
      <c r="G43" s="594">
        <f>SUM(G41:G42)</f>
        <v>1490566</v>
      </c>
    </row>
    <row r="44" ht="21.75" customHeight="1" spans="2:7">
      <c r="B44" s="255" t="s">
        <v>151</v>
      </c>
      <c r="C44" s="584">
        <v>253807</v>
      </c>
      <c r="D44" s="584">
        <v>288814</v>
      </c>
      <c r="E44" s="584">
        <v>235451</v>
      </c>
      <c r="F44" s="584">
        <v>397958</v>
      </c>
      <c r="G44" s="585">
        <v>469068</v>
      </c>
    </row>
    <row r="45" ht="21.75" customHeight="1" spans="2:7">
      <c r="B45" s="553" t="s">
        <v>152</v>
      </c>
      <c r="C45" s="595">
        <f>SUM(C43:C44)</f>
        <v>919350</v>
      </c>
      <c r="D45" s="595">
        <f>SUM(D43:D44)</f>
        <v>1064443</v>
      </c>
      <c r="E45" s="595">
        <f>SUM(E43:E44)</f>
        <v>1055639</v>
      </c>
      <c r="F45" s="595">
        <f>SUM(F43:F44)</f>
        <v>1534677</v>
      </c>
      <c r="G45" s="596">
        <f>SUM(G43:G44)</f>
        <v>1959634</v>
      </c>
    </row>
    <row r="46" ht="18.75" customHeight="1" spans="2:7">
      <c r="B46" s="251" t="s">
        <v>153</v>
      </c>
      <c r="C46" s="123"/>
      <c r="D46" s="123"/>
      <c r="E46" s="123"/>
      <c r="F46" s="123"/>
      <c r="G46" s="597"/>
    </row>
    <row r="47" ht="18.75" customHeight="1" spans="2:7">
      <c r="B47" s="251" t="s">
        <v>154</v>
      </c>
      <c r="C47" s="123"/>
      <c r="D47" s="123"/>
      <c r="E47" s="123"/>
      <c r="F47" s="123"/>
      <c r="G47" s="597"/>
    </row>
    <row r="48" ht="18.75" customHeight="1" spans="2:7">
      <c r="B48" s="255" t="s">
        <v>155</v>
      </c>
      <c r="C48" s="598">
        <v>1135350</v>
      </c>
      <c r="D48" s="598">
        <v>1515686</v>
      </c>
      <c r="E48" s="598">
        <v>1309626</v>
      </c>
      <c r="F48" s="598">
        <v>1048638</v>
      </c>
      <c r="G48" s="599">
        <v>1000849</v>
      </c>
    </row>
    <row r="49" ht="18.75" customHeight="1" spans="2:9">
      <c r="B49" s="255" t="s">
        <v>156</v>
      </c>
      <c r="C49" s="598">
        <v>290562</v>
      </c>
      <c r="D49" s="598">
        <v>508295</v>
      </c>
      <c r="E49" s="598">
        <v>539271</v>
      </c>
      <c r="F49" s="598">
        <v>556701</v>
      </c>
      <c r="G49" s="599">
        <v>644996</v>
      </c>
    </row>
    <row r="50" ht="18.75" customHeight="1" spans="2:9">
      <c r="B50" s="255" t="s">
        <v>157</v>
      </c>
      <c r="C50" s="598">
        <v>174</v>
      </c>
      <c r="D50" s="598">
        <v>3523</v>
      </c>
      <c r="E50" s="598">
        <v>2890</v>
      </c>
      <c r="F50" s="598"/>
      <c r="G50" s="599"/>
    </row>
    <row r="51" ht="18.75" customHeight="1" spans="2:9">
      <c r="B51" s="255" t="s">
        <v>158</v>
      </c>
      <c r="C51" s="598">
        <v>90116</v>
      </c>
      <c r="D51" s="598">
        <v>97311</v>
      </c>
      <c r="E51" s="598">
        <v>85036</v>
      </c>
      <c r="F51" s="598">
        <v>38642</v>
      </c>
      <c r="G51" s="599">
        <v>26320</v>
      </c>
    </row>
    <row r="52" ht="18.75" customHeight="1" spans="2:9">
      <c r="B52" s="255" t="s">
        <v>159</v>
      </c>
      <c r="C52" s="598">
        <v>30258</v>
      </c>
      <c r="D52" s="598">
        <v>30901</v>
      </c>
      <c r="E52" s="598">
        <v>34139</v>
      </c>
      <c r="F52" s="598">
        <v>35185</v>
      </c>
      <c r="G52" s="599">
        <v>40185</v>
      </c>
    </row>
    <row r="53" ht="18.75" customHeight="1" spans="2:9">
      <c r="B53" s="255" t="s">
        <v>160</v>
      </c>
      <c r="C53" s="598">
        <v>4639</v>
      </c>
      <c r="D53" s="598">
        <v>4744</v>
      </c>
      <c r="E53" s="598">
        <v>5443</v>
      </c>
      <c r="F53" s="598">
        <v>30396</v>
      </c>
      <c r="G53" s="599">
        <v>35189</v>
      </c>
    </row>
    <row r="54" ht="18.75" customHeight="1" spans="2:9">
      <c r="B54" s="255" t="s">
        <v>161</v>
      </c>
      <c r="C54" s="598">
        <v>24488</v>
      </c>
      <c r="D54" s="598">
        <v>20762</v>
      </c>
      <c r="E54" s="598">
        <v>25118</v>
      </c>
      <c r="F54" s="598">
        <v>93549</v>
      </c>
      <c r="G54" s="599">
        <v>67789</v>
      </c>
    </row>
    <row r="55" ht="18.75" customHeight="1" spans="2:9">
      <c r="B55" s="255" t="s">
        <v>162</v>
      </c>
      <c r="C55" s="598">
        <v>1363</v>
      </c>
      <c r="D55" s="598">
        <v>1029</v>
      </c>
      <c r="E55" s="598">
        <v>1470</v>
      </c>
      <c r="F55" s="598">
        <v>1414</v>
      </c>
      <c r="G55" s="599">
        <v>1497</v>
      </c>
    </row>
    <row r="56" ht="18.75" customHeight="1" spans="2:9">
      <c r="B56" s="260" t="s">
        <v>163</v>
      </c>
      <c r="C56" s="600">
        <f>SUM(C48:C55)</f>
        <v>1576950</v>
      </c>
      <c r="D56" s="600">
        <f>SUM(D48:D55)</f>
        <v>2182251</v>
      </c>
      <c r="E56" s="600">
        <f>SUM(E48:E55)</f>
        <v>2002993</v>
      </c>
      <c r="F56" s="600">
        <f>SUM(F48:F55)</f>
        <v>1804525</v>
      </c>
      <c r="G56" s="601">
        <f>SUM(G48:G55)</f>
        <v>1816825</v>
      </c>
    </row>
    <row r="57" ht="18.75" customHeight="1" spans="2:9">
      <c r="B57" s="251" t="s">
        <v>164</v>
      </c>
      <c r="C57" s="123"/>
      <c r="D57" s="123"/>
      <c r="E57" s="123"/>
      <c r="F57" s="123"/>
      <c r="G57" s="597"/>
    </row>
    <row r="58" ht="18.75" customHeight="1" spans="2:9">
      <c r="B58" s="251" t="s">
        <v>154</v>
      </c>
      <c r="C58" s="602"/>
      <c r="D58" s="602"/>
      <c r="E58" s="602"/>
      <c r="F58" s="602"/>
      <c r="G58" s="603"/>
      <c r="H58" s="571"/>
      <c r="I58" s="604"/>
    </row>
    <row r="59" ht="18.75" customHeight="1" spans="2:9">
      <c r="B59" s="255" t="s">
        <v>155</v>
      </c>
      <c r="C59" s="598">
        <v>193795</v>
      </c>
      <c r="D59" s="598">
        <v>139762</v>
      </c>
      <c r="E59" s="598">
        <v>209539</v>
      </c>
      <c r="F59" s="598">
        <v>434485</v>
      </c>
      <c r="G59" s="599">
        <v>215865</v>
      </c>
      <c r="H59" s="123"/>
      <c r="I59" s="536"/>
    </row>
    <row r="60" ht="18.75" customHeight="1" spans="2:9">
      <c r="B60" s="255" t="s">
        <v>156</v>
      </c>
      <c r="C60" s="598">
        <v>77072</v>
      </c>
      <c r="D60" s="598">
        <v>96460</v>
      </c>
      <c r="E60" s="598">
        <v>97487</v>
      </c>
      <c r="F60" s="598">
        <v>96597</v>
      </c>
      <c r="G60" s="599">
        <v>92407</v>
      </c>
      <c r="H60" s="123"/>
      <c r="I60" s="605"/>
    </row>
    <row r="61" ht="18.75" customHeight="1" spans="2:9">
      <c r="B61" s="255" t="s">
        <v>157</v>
      </c>
      <c r="C61" s="602">
        <v>995</v>
      </c>
      <c r="D61" s="598">
        <v>1117</v>
      </c>
      <c r="E61" s="598">
        <v>12207</v>
      </c>
      <c r="F61" s="598">
        <v>1921</v>
      </c>
      <c r="G61" s="599">
        <v>1918</v>
      </c>
      <c r="H61" s="123"/>
      <c r="I61" s="605"/>
    </row>
    <row r="62" ht="18.75" customHeight="1" spans="2:9">
      <c r="B62" s="255" t="s">
        <v>165</v>
      </c>
      <c r="C62" s="598">
        <v>292741</v>
      </c>
      <c r="D62" s="598">
        <v>328946</v>
      </c>
      <c r="E62" s="598">
        <v>351325</v>
      </c>
      <c r="F62" s="598">
        <v>381537</v>
      </c>
      <c r="G62" s="599">
        <v>450152</v>
      </c>
      <c r="H62" s="123"/>
      <c r="I62" s="536"/>
    </row>
    <row r="63" ht="18.75" customHeight="1" spans="2:9">
      <c r="B63" s="255" t="s">
        <v>158</v>
      </c>
      <c r="C63" s="598">
        <v>194415</v>
      </c>
      <c r="D63" s="598">
        <v>241951</v>
      </c>
      <c r="E63" s="598">
        <v>253456</v>
      </c>
      <c r="F63" s="598">
        <v>333024</v>
      </c>
      <c r="G63" s="599">
        <v>408659</v>
      </c>
      <c r="H63" s="123"/>
      <c r="I63" s="536"/>
    </row>
    <row r="64" ht="18.75" customHeight="1" spans="2:9">
      <c r="B64" s="255" t="s">
        <v>159</v>
      </c>
      <c r="C64" s="598">
        <v>75929</v>
      </c>
      <c r="D64" s="598">
        <v>84995</v>
      </c>
      <c r="E64" s="598">
        <v>87262</v>
      </c>
      <c r="F64" s="598">
        <v>97729</v>
      </c>
      <c r="G64" s="599">
        <v>109487</v>
      </c>
      <c r="H64" s="123"/>
      <c r="I64" s="536"/>
    </row>
    <row r="65" ht="18.75" customHeight="1" spans="2:9">
      <c r="B65" s="255" t="s">
        <v>160</v>
      </c>
      <c r="C65" s="598">
        <v>243449</v>
      </c>
      <c r="D65" s="598">
        <v>257292</v>
      </c>
      <c r="E65" s="598">
        <v>283282</v>
      </c>
      <c r="F65" s="598">
        <v>361552</v>
      </c>
      <c r="G65" s="599">
        <v>357828</v>
      </c>
      <c r="H65" s="123"/>
      <c r="I65" s="536"/>
    </row>
    <row r="66" ht="18.75" customHeight="1" spans="2:9">
      <c r="B66" s="255" t="s">
        <v>166</v>
      </c>
      <c r="C66" s="598">
        <v>20725</v>
      </c>
      <c r="D66" s="598">
        <v>17972</v>
      </c>
      <c r="E66" s="598">
        <v>33031</v>
      </c>
      <c r="F66" s="598">
        <v>20035</v>
      </c>
      <c r="G66" s="599">
        <v>31400</v>
      </c>
      <c r="H66" s="123"/>
      <c r="I66" s="605"/>
    </row>
    <row r="67" ht="18.75" customHeight="1" spans="2:9">
      <c r="B67" s="255" t="s">
        <v>167</v>
      </c>
      <c r="C67" s="598">
        <v>41139</v>
      </c>
      <c r="D67" s="598">
        <v>51143</v>
      </c>
      <c r="E67" s="598">
        <v>59089</v>
      </c>
      <c r="F67" s="598">
        <v>77522</v>
      </c>
      <c r="G67" s="599">
        <v>77341</v>
      </c>
      <c r="H67" s="123"/>
      <c r="I67" s="605"/>
    </row>
    <row r="68" ht="18.75" customHeight="1" spans="2:9">
      <c r="B68" s="553" t="s">
        <v>168</v>
      </c>
      <c r="C68" s="606">
        <f>SUM(C59:C67)</f>
        <v>1140260</v>
      </c>
      <c r="D68" s="606">
        <f>SUM(D59:D67)</f>
        <v>1219638</v>
      </c>
      <c r="E68" s="606">
        <f>SUM(E59:E67)</f>
        <v>1386678</v>
      </c>
      <c r="F68" s="606">
        <f>SUM(F59:F67)</f>
        <v>1804402</v>
      </c>
      <c r="G68" s="607">
        <f>SUM(G59:G67)</f>
        <v>1745057</v>
      </c>
      <c r="H68" s="124"/>
      <c r="I68" s="604"/>
    </row>
    <row r="69" ht="18.75" customHeight="1" spans="2:9">
      <c r="B69" s="251" t="s">
        <v>169</v>
      </c>
      <c r="C69" s="608">
        <f>SUM(C56+C68)</f>
        <v>2717210</v>
      </c>
      <c r="D69" s="608">
        <f>SUM(D56+D68)</f>
        <v>3401889</v>
      </c>
      <c r="E69" s="608">
        <f>SUM(E56+E68)</f>
        <v>3389671</v>
      </c>
      <c r="F69" s="608">
        <f>SUM(F56+F68)</f>
        <v>3608927</v>
      </c>
      <c r="G69" s="609">
        <f>SUM(G56+G68)</f>
        <v>3561882</v>
      </c>
    </row>
    <row r="70" ht="18.75" customHeight="1" spans="2:9">
      <c r="B70" s="610" t="s">
        <v>170</v>
      </c>
      <c r="C70" s="611">
        <f>C69+C45</f>
        <v>3636560</v>
      </c>
      <c r="D70" s="611">
        <f>D69+D45</f>
        <v>4466332</v>
      </c>
      <c r="E70" s="611">
        <f>E69+E45</f>
        <v>4445310</v>
      </c>
      <c r="F70" s="611">
        <f>F69+F45</f>
        <v>5143604</v>
      </c>
      <c r="G70" s="612">
        <f>G69+G45</f>
        <v>5521516</v>
      </c>
    </row>
    <row r="71" ht="15" customHeight="1" spans="2:9">
      <c r="B71" s="613"/>
      <c r="C71" s="614"/>
      <c r="D71" s="614"/>
      <c r="E71" s="614"/>
      <c r="F71" s="614"/>
      <c r="G71" s="615"/>
    </row>
    <row r="73" ht="14.25" customHeight="1" spans="2:9">
      <c r="B73" s="126" t="s">
        <v>171</v>
      </c>
      <c r="C73" s="125" t="b">
        <f>C38=C70</f>
        <v>1</v>
      </c>
      <c r="D73" s="125" t="b">
        <f>D38=D70</f>
        <v>1</v>
      </c>
      <c r="E73" s="125" t="b">
        <f>E38=E70</f>
        <v>1</v>
      </c>
      <c r="F73" s="125" t="b">
        <f>F38=F70</f>
        <v>1</v>
      </c>
      <c r="G73" s="125" t="b">
        <f>G38=G70</f>
        <v>1</v>
      </c>
    </row>
    <row r="76" ht="14.25" customHeight="1" spans="2:9">
      <c r="B76" s="397" t="s">
        <v>107</v>
      </c>
      <c r="C76" s="397"/>
      <c r="D76" s="397"/>
      <c r="E76" s="397"/>
      <c r="F76" s="397"/>
      <c r="G76" s="397"/>
    </row>
    <row r="77" ht="14.25" customHeight="1" spans="2:9">
      <c r="B77" s="205" t="s">
        <v>172</v>
      </c>
      <c r="C77" s="205"/>
      <c r="D77" s="9"/>
      <c r="E77" s="9"/>
      <c r="F77" s="9"/>
      <c r="G77" s="9"/>
    </row>
    <row r="78" ht="14.25" customHeight="1" spans="2:9">
      <c r="B78" s="9" t="s">
        <v>173</v>
      </c>
      <c r="C78" s="416">
        <f>C37/C68</f>
        <v>0.45628102362619</v>
      </c>
      <c r="D78" s="416">
        <f>D37/D68</f>
        <v>0.471462023977606</v>
      </c>
      <c r="E78" s="416">
        <f>E37/E68</f>
        <v>0.420256901746476</v>
      </c>
      <c r="F78" s="416">
        <f>F37/F68</f>
        <v>0.37457728377601</v>
      </c>
      <c r="G78" s="416">
        <f>G37/G68</f>
        <v>0.516976809353505</v>
      </c>
    </row>
    <row r="79" ht="14.25" customHeight="1" spans="2:9">
      <c r="B79" s="9" t="s">
        <v>174</v>
      </c>
      <c r="C79" s="416">
        <f>(SUM(C29:C35)/C68)</f>
        <v>0.452992300001754</v>
      </c>
      <c r="D79" s="416">
        <f>(SUM(D29:D35)/D68)</f>
        <v>0.469349921862061</v>
      </c>
      <c r="E79" s="416">
        <f>(SUM(E29:E35)/E68)</f>
        <v>0.41763264434858</v>
      </c>
      <c r="F79" s="416">
        <f>(SUM(F29:F35)/F68)</f>
        <v>0.372073961345642</v>
      </c>
      <c r="G79" s="416">
        <f>(SUM(G29:G35)/G68)</f>
        <v>0.513205012787548</v>
      </c>
    </row>
    <row r="80" ht="14.25" customHeight="1" spans="2:9">
      <c r="B80" s="9" t="s">
        <v>175</v>
      </c>
      <c r="C80" s="416">
        <f>(C32+C33)/C68</f>
        <v>0.118344061880624</v>
      </c>
      <c r="D80" s="416">
        <f>(D32+D33)/D68</f>
        <v>0.110021170216081</v>
      </c>
      <c r="E80" s="416">
        <f>(E32+E33)/E68</f>
        <v>0.117834854234364</v>
      </c>
      <c r="F80" s="416">
        <f>(F32+F33)/F68</f>
        <v>0.0926617239395656</v>
      </c>
      <c r="G80" s="416">
        <f>(G32+G33)/G68</f>
        <v>0.174073397029438</v>
      </c>
    </row>
    <row r="81" ht="14.25" customHeight="1" spans="2:7">
      <c r="B81" s="205" t="s">
        <v>176</v>
      </c>
      <c r="C81" s="9"/>
      <c r="D81" s="9"/>
      <c r="E81" s="9"/>
      <c r="F81" s="9"/>
      <c r="G81" s="9"/>
    </row>
    <row r="82" ht="14.25" customHeight="1" spans="2:7">
      <c r="B82" s="9" t="s">
        <v>177</v>
      </c>
      <c r="C82" s="416">
        <f>(C48+C59)/C70</f>
        <v>0.365495138262534</v>
      </c>
      <c r="D82" s="416">
        <f>(D48+D59)/D70</f>
        <v>0.370650457691009</v>
      </c>
      <c r="E82" s="416">
        <f>(E48+E59)/E70</f>
        <v>0.341745570050233</v>
      </c>
      <c r="F82" s="416">
        <f>(F48+F59)/F70</f>
        <v>0.288343153944199</v>
      </c>
      <c r="G82" s="416">
        <f>(G48+G59)/G70</f>
        <v>0.220358684100526</v>
      </c>
    </row>
    <row r="83" ht="14.25" customHeight="1" spans="2:7">
      <c r="B83" s="9" t="s">
        <v>178</v>
      </c>
      <c r="C83" s="616">
        <f>(C48+C59)/C45</f>
        <v>1.44574427584707</v>
      </c>
      <c r="D83" s="616">
        <f>(D48+D59)/D45</f>
        <v>1.55522465740298</v>
      </c>
      <c r="E83" s="616">
        <f>(E48+E59)/E45</f>
        <v>1.4390951831071</v>
      </c>
      <c r="F83" s="616">
        <f>(F48+F59)/F45</f>
        <v>0.966407263547965</v>
      </c>
      <c r="G83" s="616">
        <f>(G48+G59)/G45</f>
        <v>0.620888390383102</v>
      </c>
    </row>
    <row r="84" ht="14.25" customHeight="1" spans="2:7">
      <c r="B84" s="9" t="s">
        <v>179</v>
      </c>
      <c r="C84" s="616">
        <f>'P&amp;L Input'!C30/'P&amp;L Input'!C32</f>
        <v>1.50320169473165</v>
      </c>
      <c r="D84" s="616">
        <f>'P&amp;L Input'!D30/'P&amp;L Input'!D32</f>
        <v>1.85380753268152</v>
      </c>
      <c r="E84" s="616">
        <f>'P&amp;L Input'!E30/'P&amp;L Input'!E32</f>
        <v>1.77455547362425</v>
      </c>
      <c r="F84" s="616">
        <f>'P&amp;L Input'!F30/'P&amp;L Input'!F32</f>
        <v>2.25994419391465</v>
      </c>
      <c r="G84" s="616">
        <f>'P&amp;L Input'!G30/'P&amp;L Input'!G32</f>
        <v>3.23730126697378</v>
      </c>
    </row>
    <row r="85" ht="14.25" customHeight="1" spans="2:7">
      <c r="B85" s="9" t="s">
        <v>180</v>
      </c>
      <c r="C85" s="12">
        <f>'P&amp;L Input'!C26/('P&amp;L Input'!C32+'BS Input'!C48+'BS Input'!C59)</f>
        <v>0.388336308196243</v>
      </c>
      <c r="D85" s="12">
        <f>'P&amp;L Input'!D26/('P&amp;L Input'!D32+'BS Input'!D48+'BS Input'!D59)</f>
        <v>0.390652802054914</v>
      </c>
      <c r="E85" s="12">
        <f>'P&amp;L Input'!E26/('P&amp;L Input'!E32+'BS Input'!E48+'BS Input'!E59)</f>
        <v>0.456721366694889</v>
      </c>
      <c r="F85" s="12">
        <f>'P&amp;L Input'!F26/('P&amp;L Input'!F32+'BS Input'!F48+'BS Input'!F59)</f>
        <v>0.557035436788733</v>
      </c>
      <c r="G85" s="12">
        <f>'P&amp;L Input'!G26/('P&amp;L Input'!G32+'BS Input'!G48+'BS Input'!G59)</f>
        <v>0.85523020498273</v>
      </c>
    </row>
  </sheetData>
  <mergeCells count="1">
    <mergeCell ref="A1:J4"/>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B7BF"/>
  </sheetPr>
  <dimension ref="A1:J89"/>
  <sheetViews>
    <sheetView showGridLines="0" zoomScale="143" zoomScaleNormal="143" workbookViewId="0">
      <pane xSplit="2" ySplit="9" topLeftCell="C10" activePane="bottomRight" state="frozen"/>
      <selection/>
      <selection pane="topRight"/>
      <selection pane="bottomLeft"/>
      <selection pane="bottomRight" activeCell="B6" sqref="B6"/>
    </sheetView>
  </sheetViews>
  <sheetFormatPr defaultColWidth="8.89814814814815" defaultRowHeight="14.4"/>
  <cols>
    <col min="1" max="1" width="2" style="1" customWidth="1"/>
    <col min="2" max="2" width="56.5555555555556" style="1" customWidth="1"/>
    <col min="3" max="7" width="23.787037037037" style="1" customWidth="1"/>
  </cols>
  <sheetData>
    <row r="1" ht="14.25" customHeight="1" spans="1:10">
      <c r="A1" s="562" t="s">
        <v>84</v>
      </c>
      <c r="B1" s="562"/>
      <c r="C1" s="562"/>
      <c r="D1" s="562"/>
      <c r="E1" s="562"/>
      <c r="F1" s="562"/>
      <c r="G1" s="562"/>
      <c r="H1" s="562"/>
      <c r="I1" s="562"/>
      <c r="J1" s="562"/>
    </row>
    <row r="2" ht="14.25" customHeight="1" spans="1:10">
      <c r="A2" s="562"/>
      <c r="B2" s="562"/>
      <c r="C2" s="562"/>
      <c r="D2" s="562"/>
      <c r="E2" s="562"/>
      <c r="F2" s="562"/>
      <c r="G2" s="562"/>
      <c r="H2" s="562"/>
      <c r="I2" s="562"/>
      <c r="J2" s="562"/>
    </row>
    <row r="3" ht="14.25" customHeight="1" spans="1:10">
      <c r="A3" s="562"/>
      <c r="B3" s="562"/>
      <c r="C3" s="562"/>
      <c r="D3" s="562"/>
      <c r="E3" s="562"/>
      <c r="F3" s="562"/>
      <c r="G3" s="562"/>
      <c r="H3" s="562"/>
      <c r="I3" s="562"/>
      <c r="J3" s="562"/>
    </row>
    <row r="4" ht="14.25" customHeight="1" spans="1:10">
      <c r="A4" s="562"/>
      <c r="B4" s="562"/>
      <c r="C4" s="562"/>
      <c r="D4" s="562"/>
      <c r="E4" s="562"/>
      <c r="F4" s="562"/>
      <c r="G4" s="562"/>
      <c r="H4" s="562"/>
      <c r="I4" s="562"/>
      <c r="J4" s="562"/>
    </row>
    <row r="5" ht="14.25" customHeight="1" spans="1:10">
      <c r="B5" s="125"/>
    </row>
    <row r="7" ht="23.25" customHeight="1" spans="1:10">
      <c r="B7" s="563" t="s">
        <v>181</v>
      </c>
    </row>
    <row r="8" ht="14.25" customHeight="1" spans="1:10">
      <c r="G8" s="564" t="s">
        <v>51</v>
      </c>
      <c r="H8" s="564"/>
    </row>
    <row r="9" ht="18" customHeight="1" spans="1:10">
      <c r="B9" s="565" t="s">
        <v>39</v>
      </c>
      <c r="C9" s="566" t="s">
        <v>182</v>
      </c>
      <c r="D9" s="566" t="s">
        <v>183</v>
      </c>
      <c r="E9" s="566" t="s">
        <v>184</v>
      </c>
      <c r="F9" s="566" t="s">
        <v>185</v>
      </c>
      <c r="G9" s="566" t="s">
        <v>186</v>
      </c>
      <c r="H9" s="264"/>
    </row>
    <row r="10" ht="24" customHeight="1" spans="1:10">
      <c r="B10" s="247" t="s">
        <v>187</v>
      </c>
      <c r="C10" s="248">
        <v>124831</v>
      </c>
      <c r="D10" s="248">
        <v>165607</v>
      </c>
      <c r="E10" s="248">
        <v>126790</v>
      </c>
      <c r="F10" s="248">
        <v>383985</v>
      </c>
      <c r="G10" s="249">
        <v>451727</v>
      </c>
    </row>
    <row r="11" ht="24" customHeight="1" spans="1:10">
      <c r="B11" s="251" t="s">
        <v>188</v>
      </c>
      <c r="C11" s="252"/>
      <c r="D11" s="252"/>
      <c r="E11" s="252"/>
      <c r="F11" s="252"/>
      <c r="G11" s="253"/>
    </row>
    <row r="12" ht="24" customHeight="1" spans="1:10">
      <c r="B12" s="255" t="s">
        <v>189</v>
      </c>
      <c r="C12" s="252">
        <v>330907</v>
      </c>
      <c r="D12" s="252">
        <v>364318</v>
      </c>
      <c r="E12" s="252">
        <v>395376</v>
      </c>
      <c r="F12" s="252">
        <v>455703</v>
      </c>
      <c r="G12" s="253">
        <v>527108</v>
      </c>
    </row>
    <row r="13" ht="24" customHeight="1" spans="1:10">
      <c r="B13" s="255" t="s">
        <v>190</v>
      </c>
      <c r="C13" s="252">
        <v>165241</v>
      </c>
      <c r="D13" s="252">
        <v>188434</v>
      </c>
      <c r="E13" s="252">
        <v>219337</v>
      </c>
      <c r="F13" s="252">
        <v>216258</v>
      </c>
      <c r="G13" s="253">
        <v>214485</v>
      </c>
    </row>
    <row r="14" ht="24" customHeight="1" spans="1:10">
      <c r="B14" s="255" t="s">
        <v>191</v>
      </c>
      <c r="C14" s="252">
        <v>-1067</v>
      </c>
      <c r="D14" s="252">
        <v>-2474</v>
      </c>
      <c r="E14" s="252">
        <v>-2645</v>
      </c>
      <c r="F14" s="252">
        <v>-2048</v>
      </c>
      <c r="G14" s="253">
        <v>-3369</v>
      </c>
    </row>
    <row r="15" ht="24" customHeight="1" spans="1:10">
      <c r="B15" s="255" t="s">
        <v>192</v>
      </c>
      <c r="C15" s="252" t="s">
        <v>109</v>
      </c>
      <c r="D15" s="252" t="s">
        <v>109</v>
      </c>
      <c r="E15" s="252" t="s">
        <v>109</v>
      </c>
      <c r="F15" s="252" t="s">
        <v>109</v>
      </c>
      <c r="G15" s="253">
        <v>-272</v>
      </c>
    </row>
    <row r="16" ht="24" customHeight="1" spans="1:10">
      <c r="B16" s="255" t="s">
        <v>193</v>
      </c>
      <c r="C16" s="252">
        <v>-2206</v>
      </c>
      <c r="D16" s="252">
        <v>-3080</v>
      </c>
      <c r="E16" s="252">
        <v>-6493</v>
      </c>
      <c r="F16" s="252">
        <v>-5306</v>
      </c>
      <c r="G16" s="253">
        <v>-11158</v>
      </c>
    </row>
    <row r="17" ht="24" customHeight="1" spans="2:7">
      <c r="B17" s="255" t="s">
        <v>194</v>
      </c>
      <c r="C17" s="252">
        <v>947</v>
      </c>
      <c r="D17" s="252">
        <v>3013</v>
      </c>
      <c r="E17" s="252">
        <v>6319</v>
      </c>
      <c r="F17" s="252">
        <v>420</v>
      </c>
      <c r="G17" s="253">
        <v>-2017</v>
      </c>
    </row>
    <row r="18" ht="24" customHeight="1" spans="2:7">
      <c r="B18" s="255" t="s">
        <v>195</v>
      </c>
      <c r="C18" s="252">
        <v>-24232</v>
      </c>
      <c r="D18" s="252">
        <v>-7521</v>
      </c>
      <c r="E18" s="252">
        <v>-27094</v>
      </c>
      <c r="F18" s="252">
        <v>-37030</v>
      </c>
      <c r="G18" s="253">
        <v>-3645</v>
      </c>
    </row>
    <row r="19" ht="24" customHeight="1" spans="2:7">
      <c r="B19" s="255" t="s">
        <v>196</v>
      </c>
      <c r="C19" s="252">
        <v>-11705</v>
      </c>
      <c r="D19" s="252">
        <v>6698</v>
      </c>
      <c r="E19" s="252">
        <v>75723</v>
      </c>
      <c r="F19" s="252">
        <v>-72868</v>
      </c>
      <c r="G19" s="253">
        <v>34175</v>
      </c>
    </row>
    <row r="20" ht="24" customHeight="1" spans="2:7">
      <c r="B20" s="255" t="s">
        <v>197</v>
      </c>
      <c r="C20" s="252">
        <v>776</v>
      </c>
      <c r="D20" s="252">
        <v>1115</v>
      </c>
      <c r="E20" s="252">
        <v>1194</v>
      </c>
      <c r="F20" s="252">
        <v>1669</v>
      </c>
      <c r="G20" s="253">
        <v>3157</v>
      </c>
    </row>
    <row r="21" ht="24" customHeight="1" spans="2:7">
      <c r="B21" s="255" t="s">
        <v>198</v>
      </c>
      <c r="C21" s="252">
        <v>74</v>
      </c>
      <c r="D21" s="252">
        <v>22</v>
      </c>
      <c r="E21" s="252">
        <v>44</v>
      </c>
      <c r="F21" s="252">
        <v>-1031</v>
      </c>
      <c r="G21" s="253">
        <v>-2985</v>
      </c>
    </row>
    <row r="22" ht="24" customHeight="1" spans="2:7">
      <c r="B22" s="255" t="s">
        <v>199</v>
      </c>
      <c r="C22" s="252">
        <v>3048</v>
      </c>
      <c r="D22" s="252">
        <v>5664</v>
      </c>
      <c r="E22" s="252">
        <v>4278</v>
      </c>
      <c r="F22" s="252">
        <v>3741</v>
      </c>
      <c r="G22" s="253">
        <v>3586</v>
      </c>
    </row>
    <row r="23" ht="24" customHeight="1" spans="2:7">
      <c r="B23" s="255" t="s">
        <v>200</v>
      </c>
      <c r="C23" s="252">
        <v>-222</v>
      </c>
      <c r="D23" s="252">
        <v>485</v>
      </c>
      <c r="E23" s="252">
        <v>823</v>
      </c>
      <c r="F23" s="252">
        <v>396</v>
      </c>
      <c r="G23" s="253">
        <v>2301</v>
      </c>
    </row>
    <row r="24" ht="30" customHeight="1" spans="2:7">
      <c r="B24" s="251" t="s">
        <v>201</v>
      </c>
      <c r="C24" s="257">
        <f>SUM(C10:C23)</f>
        <v>586392</v>
      </c>
      <c r="D24" s="257">
        <f>SUM(D10:D23)</f>
        <v>722281</v>
      </c>
      <c r="E24" s="257">
        <f>SUM(E10:E23)</f>
        <v>793652</v>
      </c>
      <c r="F24" s="257">
        <f>SUM(F10:F23)</f>
        <v>943889</v>
      </c>
      <c r="G24" s="258">
        <f>SUM(G10:G23)</f>
        <v>1213093</v>
      </c>
    </row>
    <row r="25" ht="24" customHeight="1" spans="2:7">
      <c r="B25" s="251" t="s">
        <v>202</v>
      </c>
      <c r="C25" s="252"/>
      <c r="D25" s="252"/>
      <c r="E25" s="252"/>
      <c r="F25" s="252"/>
      <c r="G25" s="253"/>
    </row>
    <row r="26" ht="24" customHeight="1" spans="2:7">
      <c r="B26" s="255" t="s">
        <v>203</v>
      </c>
      <c r="C26" s="252">
        <v>-7131</v>
      </c>
      <c r="D26" s="252">
        <v>-5583</v>
      </c>
      <c r="E26" s="252">
        <v>-14941</v>
      </c>
      <c r="F26" s="252">
        <v>29658</v>
      </c>
      <c r="G26" s="253">
        <v>-5654</v>
      </c>
    </row>
    <row r="27" ht="24" customHeight="1" spans="2:7">
      <c r="B27" s="255" t="s">
        <v>204</v>
      </c>
      <c r="C27" s="252">
        <v>-4877</v>
      </c>
      <c r="D27" s="252">
        <v>12671</v>
      </c>
      <c r="E27" s="252">
        <v>6398</v>
      </c>
      <c r="F27" s="252">
        <v>8586</v>
      </c>
      <c r="G27" s="253">
        <v>24977</v>
      </c>
    </row>
    <row r="28" ht="24" customHeight="1" spans="2:7">
      <c r="B28" s="255" t="s">
        <v>139</v>
      </c>
      <c r="C28" s="252">
        <v>-1181</v>
      </c>
      <c r="D28" s="252">
        <v>-1157</v>
      </c>
      <c r="E28" s="252">
        <v>-771</v>
      </c>
      <c r="F28" s="252">
        <v>-1416</v>
      </c>
      <c r="G28" s="253">
        <v>-1982</v>
      </c>
    </row>
    <row r="29" ht="24" customHeight="1" spans="2:7">
      <c r="B29" s="255" t="s">
        <v>160</v>
      </c>
      <c r="C29" s="252">
        <v>2736</v>
      </c>
      <c r="D29" s="252">
        <v>6494</v>
      </c>
      <c r="E29" s="252">
        <v>17332</v>
      </c>
      <c r="F29" s="252">
        <v>22699</v>
      </c>
      <c r="G29" s="253">
        <v>18276</v>
      </c>
    </row>
    <row r="30" ht="24" customHeight="1" spans="2:7">
      <c r="B30" s="255" t="s">
        <v>205</v>
      </c>
      <c r="C30" s="252">
        <v>11655</v>
      </c>
      <c r="D30" s="252">
        <v>-11991</v>
      </c>
      <c r="E30" s="252">
        <v>41516</v>
      </c>
      <c r="F30" s="252">
        <v>48154</v>
      </c>
      <c r="G30" s="253">
        <v>33760</v>
      </c>
    </row>
    <row r="31" ht="24" customHeight="1" spans="2:7">
      <c r="B31" s="255" t="s">
        <v>206</v>
      </c>
      <c r="C31" s="252">
        <v>-15674</v>
      </c>
      <c r="D31" s="252">
        <v>-31554</v>
      </c>
      <c r="E31" s="252">
        <v>-25398</v>
      </c>
      <c r="F31" s="252">
        <v>-23868</v>
      </c>
      <c r="G31" s="253">
        <v>2665</v>
      </c>
    </row>
    <row r="32" ht="24" customHeight="1" spans="2:7">
      <c r="B32" s="251" t="s">
        <v>207</v>
      </c>
      <c r="C32" s="257">
        <v>571920</v>
      </c>
      <c r="D32" s="257">
        <v>691161</v>
      </c>
      <c r="E32" s="257">
        <v>817788</v>
      </c>
      <c r="F32" s="257">
        <v>1027702</v>
      </c>
      <c r="G32" s="258">
        <v>1285135</v>
      </c>
    </row>
    <row r="33" ht="24" customHeight="1" spans="1:7">
      <c r="B33" s="255" t="s">
        <v>208</v>
      </c>
      <c r="C33" s="252">
        <v>-21754</v>
      </c>
      <c r="D33" s="252">
        <v>-37915</v>
      </c>
      <c r="E33" s="252">
        <v>-28806</v>
      </c>
      <c r="F33" s="252">
        <v>-44380</v>
      </c>
      <c r="G33" s="253">
        <v>-62839</v>
      </c>
    </row>
    <row r="34" ht="24" customHeight="1" spans="1:7">
      <c r="A34" s="567"/>
      <c r="B34" s="260" t="s">
        <v>209</v>
      </c>
      <c r="C34" s="261">
        <f>C32+C33</f>
        <v>550166</v>
      </c>
      <c r="D34" s="261">
        <f>D32+D33</f>
        <v>653246</v>
      </c>
      <c r="E34" s="261">
        <f>E32+E33</f>
        <v>788982</v>
      </c>
      <c r="F34" s="261">
        <f>F32+F33</f>
        <v>983322</v>
      </c>
      <c r="G34" s="262">
        <f>G32+G33</f>
        <v>1222296</v>
      </c>
    </row>
    <row r="35" ht="24" customHeight="1" spans="1:7">
      <c r="B35" s="264"/>
      <c r="C35" s="252"/>
      <c r="D35" s="252"/>
      <c r="E35" s="252"/>
      <c r="F35" s="252"/>
      <c r="G35" s="253"/>
    </row>
    <row r="36" ht="24" customHeight="1" spans="1:7">
      <c r="B36" s="265" t="s">
        <v>210</v>
      </c>
      <c r="C36" s="252"/>
      <c r="D36" s="252"/>
      <c r="E36" s="252"/>
      <c r="F36" s="252"/>
      <c r="G36" s="253"/>
    </row>
    <row r="37" ht="24" customHeight="1" spans="1:7">
      <c r="B37" s="255" t="s">
        <v>211</v>
      </c>
      <c r="C37" s="252">
        <v>-265406</v>
      </c>
      <c r="D37" s="252">
        <v>-260566</v>
      </c>
      <c r="E37" s="252">
        <v>-381915</v>
      </c>
      <c r="F37" s="252">
        <v>-379077</v>
      </c>
      <c r="G37" s="253">
        <v>-451756</v>
      </c>
    </row>
    <row r="38" ht="24" customHeight="1" spans="1:7">
      <c r="B38" s="255" t="s">
        <v>212</v>
      </c>
      <c r="C38" s="252">
        <v>13791</v>
      </c>
      <c r="D38" s="252">
        <v>885</v>
      </c>
      <c r="E38" s="252">
        <v>1228</v>
      </c>
      <c r="F38" s="252">
        <v>3382</v>
      </c>
      <c r="G38" s="253">
        <v>11680</v>
      </c>
    </row>
    <row r="39" ht="24" customHeight="1" spans="1:7">
      <c r="B39" s="255" t="s">
        <v>213</v>
      </c>
      <c r="C39" s="252">
        <v>-8593</v>
      </c>
      <c r="D39" s="252">
        <v>-4819</v>
      </c>
      <c r="E39" s="252">
        <v>-18600</v>
      </c>
      <c r="F39" s="252">
        <v>-17722</v>
      </c>
      <c r="G39" s="253">
        <v>-15386</v>
      </c>
    </row>
    <row r="40" ht="24" customHeight="1" spans="1:7">
      <c r="B40" s="255" t="s">
        <v>214</v>
      </c>
      <c r="C40" s="252">
        <v>-174482</v>
      </c>
      <c r="D40" s="252">
        <v>-123684</v>
      </c>
      <c r="E40" s="252">
        <v>-121547</v>
      </c>
      <c r="F40" s="252">
        <v>-213487</v>
      </c>
      <c r="G40" s="253">
        <v>-8546</v>
      </c>
    </row>
    <row r="41" ht="24" customHeight="1" spans="1:7">
      <c r="B41" s="255" t="s">
        <v>215</v>
      </c>
      <c r="C41" s="252">
        <v>10048</v>
      </c>
      <c r="D41" s="252" t="s">
        <v>109</v>
      </c>
      <c r="E41" s="252" t="s">
        <v>109</v>
      </c>
      <c r="F41" s="252" t="s">
        <v>109</v>
      </c>
      <c r="G41" s="253" t="s">
        <v>109</v>
      </c>
    </row>
    <row r="42" ht="24" customHeight="1" spans="1:7">
      <c r="B42" s="255" t="s">
        <v>216</v>
      </c>
      <c r="C42" s="252">
        <v>998</v>
      </c>
      <c r="D42" s="252" t="s">
        <v>109</v>
      </c>
      <c r="E42" s="252" t="s">
        <v>109</v>
      </c>
      <c r="F42" s="252" t="s">
        <v>109</v>
      </c>
      <c r="G42" s="253" t="s">
        <v>109</v>
      </c>
    </row>
    <row r="43" ht="24" customHeight="1" spans="1:7">
      <c r="B43" s="255" t="s">
        <v>217</v>
      </c>
      <c r="C43" s="252">
        <v>21298</v>
      </c>
      <c r="D43" s="252">
        <v>-12000</v>
      </c>
      <c r="E43" s="252">
        <v>19015</v>
      </c>
      <c r="F43" s="252">
        <v>7100</v>
      </c>
      <c r="G43" s="253">
        <v>-126994</v>
      </c>
    </row>
    <row r="44" ht="24" customHeight="1" spans="1:7">
      <c r="B44" s="255" t="s">
        <v>218</v>
      </c>
      <c r="C44" s="252" t="s">
        <v>109</v>
      </c>
      <c r="D44" s="252">
        <v>311</v>
      </c>
      <c r="E44" s="252">
        <v>69</v>
      </c>
      <c r="F44" s="252">
        <v>300</v>
      </c>
      <c r="G44" s="253">
        <v>90</v>
      </c>
    </row>
    <row r="45" ht="24" customHeight="1" spans="1:7">
      <c r="B45" s="255" t="s">
        <v>219</v>
      </c>
      <c r="C45" s="252">
        <v>-89</v>
      </c>
      <c r="D45" s="252">
        <v>-323</v>
      </c>
      <c r="E45" s="252">
        <v>-304</v>
      </c>
      <c r="F45" s="252">
        <v>-734</v>
      </c>
      <c r="G45" s="253">
        <v>-1241</v>
      </c>
    </row>
    <row r="46" ht="24" customHeight="1" spans="1:7">
      <c r="B46" s="255" t="s">
        <v>220</v>
      </c>
      <c r="C46" s="252">
        <v>5887</v>
      </c>
      <c r="D46" s="252" t="s">
        <v>109</v>
      </c>
      <c r="E46" s="252" t="s">
        <v>109</v>
      </c>
      <c r="F46" s="252" t="s">
        <v>109</v>
      </c>
      <c r="G46" s="253" t="s">
        <v>109</v>
      </c>
    </row>
    <row r="47" ht="24" customHeight="1" spans="1:7">
      <c r="B47" s="255" t="s">
        <v>221</v>
      </c>
      <c r="C47" s="252">
        <v>-26208</v>
      </c>
      <c r="D47" s="252">
        <v>-8106</v>
      </c>
      <c r="E47" s="252">
        <v>-300</v>
      </c>
      <c r="F47" s="252">
        <v>-8788</v>
      </c>
      <c r="G47" s="253" t="s">
        <v>109</v>
      </c>
    </row>
    <row r="48" ht="24" customHeight="1" spans="1:7">
      <c r="B48" s="255" t="s">
        <v>222</v>
      </c>
      <c r="C48" s="252">
        <v>8</v>
      </c>
      <c r="D48" s="252" t="s">
        <v>109</v>
      </c>
      <c r="E48" s="252" t="s">
        <v>109</v>
      </c>
      <c r="F48" s="252" t="s">
        <v>109</v>
      </c>
      <c r="G48" s="253">
        <v>907</v>
      </c>
    </row>
    <row r="49" ht="24" customHeight="1" spans="2:7">
      <c r="B49" s="255" t="s">
        <v>223</v>
      </c>
      <c r="C49" s="252" t="s">
        <v>109</v>
      </c>
      <c r="D49" s="252" t="s">
        <v>109</v>
      </c>
      <c r="E49" s="252">
        <v>-6428</v>
      </c>
      <c r="F49" s="252" t="s">
        <v>109</v>
      </c>
      <c r="G49" s="253" t="s">
        <v>109</v>
      </c>
    </row>
    <row r="50" ht="24" customHeight="1" spans="2:7">
      <c r="B50" s="255" t="s">
        <v>224</v>
      </c>
      <c r="C50" s="252" t="s">
        <v>109</v>
      </c>
      <c r="D50" s="252" t="s">
        <v>109</v>
      </c>
      <c r="E50" s="252" t="s">
        <v>109</v>
      </c>
      <c r="F50" s="252">
        <v>-69</v>
      </c>
      <c r="G50" s="253" t="s">
        <v>109</v>
      </c>
    </row>
    <row r="51" ht="24" customHeight="1" spans="2:7">
      <c r="B51" s="255" t="s">
        <v>225</v>
      </c>
      <c r="C51" s="252" t="s">
        <v>109</v>
      </c>
      <c r="D51" s="252" t="s">
        <v>109</v>
      </c>
      <c r="E51" s="252" t="s">
        <v>109</v>
      </c>
      <c r="F51" s="252">
        <v>1023</v>
      </c>
      <c r="G51" s="253" t="s">
        <v>109</v>
      </c>
    </row>
    <row r="52" ht="24" customHeight="1" spans="2:7">
      <c r="B52" s="255" t="s">
        <v>226</v>
      </c>
      <c r="C52" s="252" t="s">
        <v>109</v>
      </c>
      <c r="D52" s="252" t="s">
        <v>109</v>
      </c>
      <c r="E52" s="252" t="s">
        <v>109</v>
      </c>
      <c r="F52" s="252">
        <v>45</v>
      </c>
      <c r="G52" s="253" t="s">
        <v>109</v>
      </c>
    </row>
    <row r="53" ht="24" customHeight="1" spans="2:7">
      <c r="B53" s="255" t="s">
        <v>227</v>
      </c>
      <c r="C53" s="252" t="s">
        <v>109</v>
      </c>
      <c r="D53" s="252">
        <v>13992</v>
      </c>
      <c r="E53" s="252">
        <v>1072</v>
      </c>
      <c r="F53" s="252">
        <v>1090</v>
      </c>
      <c r="G53" s="253">
        <v>1813</v>
      </c>
    </row>
    <row r="54" ht="24" customHeight="1" spans="2:7">
      <c r="B54" s="255" t="s">
        <v>228</v>
      </c>
      <c r="C54" s="252">
        <v>4052</v>
      </c>
      <c r="D54" s="252">
        <v>3508</v>
      </c>
      <c r="E54" s="252">
        <v>5671</v>
      </c>
      <c r="F54" s="252">
        <v>4239</v>
      </c>
      <c r="G54" s="253">
        <v>4088</v>
      </c>
    </row>
    <row r="55" ht="24" customHeight="1" spans="2:7">
      <c r="B55" s="260" t="s">
        <v>229</v>
      </c>
      <c r="C55" s="267">
        <f>SUM(C37:C54)</f>
        <v>-418696</v>
      </c>
      <c r="D55" s="267">
        <f>SUM(D37:D54)</f>
        <v>-390802</v>
      </c>
      <c r="E55" s="267">
        <f>SUM(E37:E54)</f>
        <v>-502039</v>
      </c>
      <c r="F55" s="267">
        <f>SUM(F37:F54)</f>
        <v>-602698</v>
      </c>
      <c r="G55" s="268">
        <f>SUM(G37:G54)</f>
        <v>-585345</v>
      </c>
    </row>
    <row r="56" ht="24" customHeight="1" spans="2:7">
      <c r="B56" s="264"/>
      <c r="C56" s="252"/>
      <c r="D56" s="252"/>
      <c r="E56" s="252"/>
      <c r="F56" s="252"/>
      <c r="G56" s="253"/>
    </row>
    <row r="57" ht="24" customHeight="1" spans="2:7">
      <c r="B57" s="265" t="s">
        <v>230</v>
      </c>
      <c r="C57" s="252"/>
      <c r="D57" s="252"/>
      <c r="E57" s="252"/>
      <c r="F57" s="252"/>
      <c r="G57" s="253"/>
    </row>
    <row r="58" ht="24" customHeight="1" spans="2:7">
      <c r="B58" s="255" t="s">
        <v>231</v>
      </c>
      <c r="C58" s="252">
        <v>52226</v>
      </c>
      <c r="D58" s="252">
        <v>52242</v>
      </c>
      <c r="E58" s="252" t="s">
        <v>109</v>
      </c>
      <c r="F58" s="252" t="s">
        <v>109</v>
      </c>
      <c r="G58" s="253">
        <v>156949</v>
      </c>
    </row>
    <row r="59" ht="24" customHeight="1" spans="2:7">
      <c r="B59" s="255" t="s">
        <v>232</v>
      </c>
      <c r="C59" s="252">
        <v>254785</v>
      </c>
      <c r="D59" s="252">
        <v>136077</v>
      </c>
      <c r="E59" s="252">
        <v>67123</v>
      </c>
      <c r="F59" s="252">
        <v>235597</v>
      </c>
      <c r="G59" s="253">
        <v>140131</v>
      </c>
    </row>
    <row r="60" ht="24" customHeight="1" spans="2:7">
      <c r="B60" s="255" t="s">
        <v>233</v>
      </c>
      <c r="C60" s="252">
        <v>-337212</v>
      </c>
      <c r="D60" s="252">
        <v>-178227</v>
      </c>
      <c r="E60" s="252">
        <v>-100803</v>
      </c>
      <c r="F60" s="252">
        <v>-178594</v>
      </c>
      <c r="G60" s="253">
        <v>-420773</v>
      </c>
    </row>
    <row r="61" ht="24" customHeight="1" spans="2:7">
      <c r="B61" s="255" t="s">
        <v>234</v>
      </c>
      <c r="C61" s="252">
        <v>-76427</v>
      </c>
      <c r="D61" s="252">
        <v>-75986</v>
      </c>
      <c r="E61" s="252">
        <v>-78552</v>
      </c>
      <c r="F61" s="252">
        <v>-71538</v>
      </c>
      <c r="G61" s="253">
        <v>-67197</v>
      </c>
    </row>
    <row r="62" ht="24" customHeight="1" spans="2:7">
      <c r="B62" s="255" t="s">
        <v>235</v>
      </c>
      <c r="C62" s="252">
        <v>63649</v>
      </c>
      <c r="D62" s="252">
        <v>-70972</v>
      </c>
      <c r="E62" s="252">
        <v>15516</v>
      </c>
      <c r="F62" s="252">
        <v>36927</v>
      </c>
      <c r="G62" s="253">
        <v>-44087</v>
      </c>
    </row>
    <row r="63" ht="24" customHeight="1" spans="2:7">
      <c r="B63" s="255" t="s">
        <v>236</v>
      </c>
      <c r="C63" s="252">
        <v>-598</v>
      </c>
      <c r="D63" s="252">
        <v>-499</v>
      </c>
      <c r="E63" s="252">
        <v>-1368</v>
      </c>
      <c r="F63" s="252">
        <v>-3675</v>
      </c>
      <c r="G63" s="253">
        <v>-1467</v>
      </c>
    </row>
    <row r="64" ht="24" customHeight="1" spans="2:7">
      <c r="B64" s="255" t="s">
        <v>237</v>
      </c>
      <c r="C64" s="252">
        <v>-131588</v>
      </c>
      <c r="D64" s="252">
        <v>-66893</v>
      </c>
      <c r="E64" s="252">
        <v>-140263</v>
      </c>
      <c r="F64" s="252">
        <v>-175476</v>
      </c>
      <c r="G64" s="253">
        <v>-148876</v>
      </c>
    </row>
    <row r="65" ht="24" customHeight="1" spans="2:8">
      <c r="B65" s="255" t="s">
        <v>238</v>
      </c>
      <c r="C65" s="252">
        <v>7</v>
      </c>
      <c r="D65" s="252">
        <v>3</v>
      </c>
      <c r="E65" s="252">
        <v>6</v>
      </c>
      <c r="F65" s="252">
        <v>14</v>
      </c>
      <c r="G65" s="253">
        <v>20</v>
      </c>
    </row>
    <row r="66" ht="24" customHeight="1" spans="2:8">
      <c r="B66" s="255" t="s">
        <v>239</v>
      </c>
      <c r="C66" s="252">
        <v>-14438</v>
      </c>
      <c r="D66" s="252">
        <v>-35898</v>
      </c>
      <c r="E66" s="252">
        <v>-41845</v>
      </c>
      <c r="F66" s="252">
        <v>-69349</v>
      </c>
      <c r="G66" s="253">
        <v>-113277</v>
      </c>
    </row>
    <row r="67" ht="30.75" customHeight="1" spans="2:8">
      <c r="B67" s="255" t="s">
        <v>240</v>
      </c>
      <c r="C67" s="252">
        <v>10880</v>
      </c>
      <c r="D67" s="252" t="s">
        <v>109</v>
      </c>
      <c r="E67" s="252" t="s">
        <v>109</v>
      </c>
      <c r="F67" s="252" t="s">
        <v>109</v>
      </c>
      <c r="G67" s="253" t="s">
        <v>109</v>
      </c>
    </row>
    <row r="68" ht="24" customHeight="1" spans="2:8">
      <c r="B68" s="255" t="s">
        <v>241</v>
      </c>
      <c r="C68" s="252" t="s">
        <v>109</v>
      </c>
      <c r="D68" s="252" t="s">
        <v>109</v>
      </c>
      <c r="E68" s="252" t="s">
        <v>109</v>
      </c>
      <c r="F68" s="252" t="s">
        <v>109</v>
      </c>
      <c r="G68" s="253">
        <v>75</v>
      </c>
    </row>
    <row r="69" ht="24" customHeight="1" spans="2:8">
      <c r="B69" s="255" t="s">
        <v>242</v>
      </c>
      <c r="C69" s="252" t="s">
        <v>109</v>
      </c>
      <c r="D69" s="252" t="s">
        <v>109</v>
      </c>
      <c r="E69" s="252" t="s">
        <v>109</v>
      </c>
      <c r="F69" s="252">
        <v>-86292</v>
      </c>
      <c r="G69" s="253" t="s">
        <v>109</v>
      </c>
    </row>
    <row r="70" ht="24" customHeight="1" spans="2:8">
      <c r="B70" s="255" t="s">
        <v>243</v>
      </c>
      <c r="C70" s="252" t="s">
        <v>109</v>
      </c>
      <c r="D70" s="252" t="s">
        <v>109</v>
      </c>
      <c r="E70" s="252">
        <v>-1693</v>
      </c>
      <c r="F70" s="252" t="s">
        <v>109</v>
      </c>
      <c r="G70" s="253" t="s">
        <v>109</v>
      </c>
    </row>
    <row r="71" ht="24" customHeight="1" spans="2:8">
      <c r="B71" s="255" t="s">
        <v>244</v>
      </c>
      <c r="C71" s="252">
        <v>-13523</v>
      </c>
      <c r="D71" s="252">
        <v>-641</v>
      </c>
      <c r="E71" s="252">
        <v>-870</v>
      </c>
      <c r="F71" s="252">
        <v>-37348</v>
      </c>
      <c r="G71" s="253">
        <v>-19056</v>
      </c>
    </row>
    <row r="72" ht="24" customHeight="1" spans="2:8">
      <c r="B72" s="255" t="s">
        <v>245</v>
      </c>
      <c r="C72" s="252">
        <v>-704</v>
      </c>
      <c r="D72" s="252">
        <v>-3901</v>
      </c>
      <c r="E72" s="252">
        <v>573</v>
      </c>
      <c r="F72" s="252">
        <v>-16427</v>
      </c>
      <c r="G72" s="253">
        <v>-5368</v>
      </c>
    </row>
    <row r="73" ht="24" customHeight="1" spans="2:8">
      <c r="B73" s="255" t="s">
        <v>246</v>
      </c>
      <c r="C73" s="252">
        <v>40911</v>
      </c>
      <c r="D73" s="252" t="s">
        <v>109</v>
      </c>
      <c r="E73" s="252">
        <v>4391</v>
      </c>
      <c r="F73" s="252">
        <v>829</v>
      </c>
      <c r="G73" s="253" t="s">
        <v>109</v>
      </c>
    </row>
    <row r="74" ht="24" customHeight="1" spans="2:8">
      <c r="B74" s="260" t="s">
        <v>247</v>
      </c>
      <c r="C74" s="267">
        <f>SUM(C58:C73)</f>
        <v>-152032</v>
      </c>
      <c r="D74" s="267">
        <f>SUM(D58:D73)</f>
        <v>-244695</v>
      </c>
      <c r="E74" s="267">
        <f>SUM(E58:E73)</f>
        <v>-277785</v>
      </c>
      <c r="F74" s="267">
        <f>SUM(F58:F73)</f>
        <v>-365332</v>
      </c>
      <c r="G74" s="268">
        <f>SUM(G58:G73)</f>
        <v>-522926</v>
      </c>
    </row>
    <row r="75" ht="24" customHeight="1" spans="2:8">
      <c r="B75" s="264"/>
      <c r="C75" s="252"/>
      <c r="D75" s="252"/>
      <c r="E75" s="252"/>
      <c r="F75" s="252"/>
      <c r="G75" s="253"/>
    </row>
    <row r="76" ht="18" customHeight="1" spans="2:8">
      <c r="B76" s="277" t="s">
        <v>248</v>
      </c>
      <c r="C76" s="267">
        <f>SUM(C34,C55,C74)</f>
        <v>-20562</v>
      </c>
      <c r="D76" s="267">
        <f>SUM(D34,D55,D74)</f>
        <v>17749</v>
      </c>
      <c r="E76" s="267">
        <f>SUM(E34,E55,E74)</f>
        <v>9158</v>
      </c>
      <c r="F76" s="267">
        <f>SUM(F34,F55,F74)</f>
        <v>15292</v>
      </c>
      <c r="G76" s="268">
        <f>SUM(G34,G55,G74)</f>
        <v>114025</v>
      </c>
    </row>
    <row r="77" ht="24" customHeight="1" spans="2:8">
      <c r="B77" s="278"/>
      <c r="C77" s="14"/>
      <c r="D77" s="55"/>
      <c r="E77" s="55"/>
      <c r="F77" s="55"/>
      <c r="G77" s="568"/>
      <c r="H77" s="55">
        <f>SUM(H46,H63,H74,H75)</f>
        <v>0</v>
      </c>
    </row>
    <row r="78" ht="24" customHeight="1" spans="2:8">
      <c r="B78" s="251" t="s">
        <v>249</v>
      </c>
      <c r="C78" s="279">
        <v>3919</v>
      </c>
      <c r="D78" s="279">
        <v>-1522</v>
      </c>
      <c r="E78" s="279">
        <v>-8851</v>
      </c>
      <c r="F78" s="279">
        <v>718</v>
      </c>
      <c r="G78" s="569">
        <v>23291</v>
      </c>
      <c r="H78" s="55"/>
    </row>
    <row r="79" ht="24" customHeight="1" spans="2:8">
      <c r="B79" s="255" t="s">
        <v>250</v>
      </c>
      <c r="C79" s="279">
        <v>90630</v>
      </c>
      <c r="D79" s="279">
        <f>C80</f>
        <v>73987</v>
      </c>
      <c r="E79" s="279">
        <f>D80</f>
        <v>90214</v>
      </c>
      <c r="F79" s="279">
        <f>E80</f>
        <v>90521</v>
      </c>
      <c r="G79" s="569">
        <f>F80</f>
        <v>106531</v>
      </c>
    </row>
    <row r="80" ht="24" customHeight="1" spans="2:8">
      <c r="B80" s="255" t="s">
        <v>251</v>
      </c>
      <c r="C80" s="279">
        <f>SUM(C76:C79)</f>
        <v>73987</v>
      </c>
      <c r="D80" s="279">
        <f>SUM(D76:D79)</f>
        <v>90214</v>
      </c>
      <c r="E80" s="279">
        <f>SUM(E76:E79)</f>
        <v>90521</v>
      </c>
      <c r="F80" s="279">
        <f>SUM(F76:F79)</f>
        <v>106531</v>
      </c>
      <c r="G80" s="569">
        <f>SUM(G76:G79)</f>
        <v>243847</v>
      </c>
    </row>
    <row r="81" ht="24" customHeight="1" spans="2:7">
      <c r="B81" s="283"/>
      <c r="C81" s="284"/>
      <c r="D81" s="284"/>
      <c r="E81" s="284"/>
      <c r="F81" s="284"/>
      <c r="G81" s="570"/>
    </row>
    <row r="82" ht="24" customHeight="1" spans="2:7">
      <c r="B82" s="571"/>
      <c r="C82" s="572"/>
      <c r="D82" s="572"/>
      <c r="E82" s="126"/>
      <c r="F82" s="126"/>
      <c r="G82" s="126"/>
    </row>
    <row r="83" ht="24" customHeight="1" spans="2:7">
      <c r="B83" s="123"/>
      <c r="C83" s="573"/>
      <c r="D83" s="573"/>
      <c r="E83" s="126"/>
      <c r="F83" s="126"/>
      <c r="G83" s="126"/>
    </row>
    <row r="84" ht="24" customHeight="1" spans="2:7">
      <c r="B84" s="123"/>
      <c r="C84" s="573"/>
      <c r="D84" s="573"/>
      <c r="E84" s="126"/>
      <c r="F84" s="126"/>
      <c r="G84" s="126"/>
    </row>
    <row r="85" ht="24" customHeight="1" spans="2:7">
      <c r="B85" s="123"/>
      <c r="C85" s="574"/>
      <c r="D85" s="573"/>
      <c r="E85" s="126"/>
      <c r="F85" s="126"/>
      <c r="G85" s="126"/>
    </row>
    <row r="86" ht="24" customHeight="1" spans="2:7">
      <c r="B86" s="123"/>
      <c r="C86" s="573"/>
      <c r="D86" s="573"/>
      <c r="E86" s="126"/>
      <c r="F86" s="126"/>
      <c r="G86" s="126"/>
    </row>
    <row r="87" ht="30.75" customHeight="1" spans="2:7">
      <c r="B87" s="124"/>
      <c r="C87" s="575"/>
      <c r="D87" s="575"/>
      <c r="E87" s="126"/>
      <c r="F87" s="126"/>
      <c r="G87" s="126"/>
    </row>
    <row r="88" ht="14.25" customHeight="1" spans="2:7">
      <c r="C88" s="126"/>
      <c r="D88" s="126"/>
      <c r="E88" s="126"/>
      <c r="F88" s="126"/>
      <c r="G88" s="126"/>
    </row>
    <row r="89" ht="14.25" customHeight="1" spans="2:7">
      <c r="C89" s="126"/>
      <c r="D89" s="126"/>
      <c r="E89" s="126"/>
      <c r="F89" s="126"/>
      <c r="G89" s="126"/>
    </row>
  </sheetData>
  <mergeCells count="2">
    <mergeCell ref="G8:H8"/>
    <mergeCell ref="A1:J4"/>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J109"/>
  <sheetViews>
    <sheetView showGridLines="0" workbookViewId="0">
      <pane xSplit="2" ySplit="9" topLeftCell="C23" activePane="bottomRight" state="frozen"/>
      <selection/>
      <selection pane="topRight"/>
      <selection pane="bottomLeft"/>
      <selection pane="bottomRight" activeCell="B6" sqref="B6"/>
    </sheetView>
  </sheetViews>
  <sheetFormatPr defaultColWidth="8.89814814814815" defaultRowHeight="14.4"/>
  <cols>
    <col min="1" max="1" width="2.88888888888889" style="1" customWidth="1"/>
    <col min="2" max="2" width="31.4444444444444" style="1" customWidth="1"/>
    <col min="3" max="7" width="13.8888888888889" style="1" customWidth="1"/>
  </cols>
  <sheetData>
    <row r="1" ht="14.25" customHeight="1" spans="1:10">
      <c r="A1" s="2" t="s">
        <v>252</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row r="6" ht="14.25" customHeight="1" spans="1:10">
      <c r="G6" s="244" t="s">
        <v>51</v>
      </c>
    </row>
    <row r="7" ht="15" customHeight="1" spans="1:10">
      <c r="B7" s="245" t="s">
        <v>9</v>
      </c>
      <c r="C7" s="245"/>
      <c r="D7" s="245"/>
      <c r="E7" s="245"/>
      <c r="F7" s="245"/>
      <c r="G7" s="245"/>
    </row>
    <row r="8" ht="14.25" customHeight="1" spans="1:10">
      <c r="B8" s="184" t="s">
        <v>39</v>
      </c>
      <c r="C8" s="5">
        <v>2022</v>
      </c>
      <c r="D8" s="5">
        <f>C8+1</f>
        <v>2023</v>
      </c>
      <c r="E8" s="5">
        <f>D8+1</f>
        <v>2024</v>
      </c>
      <c r="F8" s="5">
        <f>E8+1</f>
        <v>2025</v>
      </c>
      <c r="G8" s="5">
        <f>F8+1</f>
        <v>2026</v>
      </c>
    </row>
    <row r="9" ht="14.25" customHeight="1" spans="1:10">
      <c r="B9" s="184"/>
      <c r="C9" s="6" t="s">
        <v>85</v>
      </c>
      <c r="D9" s="6" t="s">
        <v>85</v>
      </c>
      <c r="E9" s="6" t="s">
        <v>85</v>
      </c>
      <c r="F9" s="6" t="s">
        <v>85</v>
      </c>
      <c r="G9" s="6" t="s">
        <v>85</v>
      </c>
    </row>
    <row r="10" ht="14.25" customHeight="1" spans="1:10">
      <c r="B10" s="185"/>
      <c r="C10" s="526"/>
      <c r="D10" s="527"/>
      <c r="E10" s="527"/>
      <c r="F10" s="527"/>
      <c r="G10" s="527"/>
    </row>
    <row r="11" ht="14.25" customHeight="1" spans="1:10">
      <c r="B11" s="449" t="s">
        <v>86</v>
      </c>
      <c r="C11" s="528">
        <f>'P&amp;L Input'!C11/'P&amp;L Input'!C$14</f>
        <v>0.995436500480009</v>
      </c>
      <c r="D11" s="528">
        <f>'P&amp;L Input'!D11/'P&amp;L Input'!D$14</f>
        <v>0.993313887496841</v>
      </c>
      <c r="E11" s="528">
        <f>'P&amp;L Input'!E11/'P&amp;L Input'!E$14</f>
        <v>0.990520269083291</v>
      </c>
      <c r="F11" s="528">
        <f>'P&amp;L Input'!F11/'P&amp;L Input'!F$14</f>
        <v>0.990984704876119</v>
      </c>
      <c r="G11" s="528">
        <f>'P&amp;L Input'!G11/'P&amp;L Input'!G$14</f>
        <v>0.986822121323672</v>
      </c>
    </row>
    <row r="12" ht="14.25" customHeight="1" spans="1:10">
      <c r="B12" s="449" t="s">
        <v>87</v>
      </c>
      <c r="C12" s="528">
        <f>'P&amp;L Input'!C12/'P&amp;L Input'!C$14</f>
        <v>0.00456349951999125</v>
      </c>
      <c r="D12" s="528">
        <f>'P&amp;L Input'!D12/'P&amp;L Input'!D$14</f>
        <v>0.00668611250315888</v>
      </c>
      <c r="E12" s="528">
        <f>'P&amp;L Input'!E12/'P&amp;L Input'!E$14</f>
        <v>0.0094797309167086</v>
      </c>
      <c r="F12" s="528">
        <f>'P&amp;L Input'!F12/'P&amp;L Input'!F$14</f>
        <v>0.00901529512388082</v>
      </c>
      <c r="G12" s="528">
        <f>'P&amp;L Input'!G12/'P&amp;L Input'!G$14</f>
        <v>0.0131778786763279</v>
      </c>
    </row>
    <row r="13" ht="14.25" customHeight="1" spans="1:10">
      <c r="B13" s="449"/>
      <c r="C13" s="528"/>
      <c r="D13" s="528"/>
      <c r="E13" s="528"/>
      <c r="F13" s="528"/>
      <c r="G13" s="528"/>
    </row>
    <row r="14" ht="14.25" customHeight="1" spans="1:10">
      <c r="B14" s="529" t="s">
        <v>88</v>
      </c>
      <c r="C14" s="530">
        <f>'P&amp;L Input'!C14/'P&amp;L Input'!C$14</f>
        <v>1</v>
      </c>
      <c r="D14" s="530">
        <f>'P&amp;L Input'!D14/'P&amp;L Input'!D$14</f>
        <v>1</v>
      </c>
      <c r="E14" s="530">
        <f>'P&amp;L Input'!E14/'P&amp;L Input'!E$14</f>
        <v>1</v>
      </c>
      <c r="F14" s="530">
        <f>'P&amp;L Input'!F14/'P&amp;L Input'!F$14</f>
        <v>1</v>
      </c>
      <c r="G14" s="531">
        <f>'P&amp;L Input'!G14/'P&amp;L Input'!G$14</f>
        <v>1</v>
      </c>
    </row>
    <row r="15" ht="14.25" customHeight="1" spans="1:10">
      <c r="B15" s="449"/>
      <c r="C15" s="528"/>
      <c r="D15" s="528"/>
      <c r="E15" s="528"/>
      <c r="F15" s="528"/>
      <c r="G15" s="528"/>
    </row>
    <row r="16" ht="14.25" customHeight="1" spans="1:10">
      <c r="B16" s="532" t="s">
        <v>89</v>
      </c>
      <c r="C16" s="528">
        <f>'P&amp;L Input'!C16/'P&amp;L Input'!C$14</f>
        <v>0</v>
      </c>
      <c r="D16" s="528">
        <f>'P&amp;L Input'!D16/'P&amp;L Input'!D$14</f>
        <v>0</v>
      </c>
      <c r="E16" s="528">
        <f>'P&amp;L Input'!E16/'P&amp;L Input'!E$14</f>
        <v>0</v>
      </c>
      <c r="F16" s="528">
        <f>'P&amp;L Input'!F16/'P&amp;L Input'!F$14</f>
        <v>0</v>
      </c>
      <c r="G16" s="528">
        <f>'P&amp;L Input'!G16/'P&amp;L Input'!G$14</f>
        <v>0</v>
      </c>
    </row>
    <row r="17" ht="14.25" customHeight="1" spans="2:10">
      <c r="B17" s="449" t="s">
        <v>90</v>
      </c>
      <c r="C17" s="528">
        <f>'P&amp;L Input'!C17/'P&amp;L Input'!C$14</f>
        <v>0.213702114429985</v>
      </c>
      <c r="D17" s="528">
        <f>'P&amp;L Input'!D17/'P&amp;L Input'!D$14</f>
        <v>0.203762241096962</v>
      </c>
      <c r="E17" s="528">
        <f>'P&amp;L Input'!E17/'P&amp;L Input'!E$14</f>
        <v>0.198251460528419</v>
      </c>
      <c r="F17" s="528">
        <f>'P&amp;L Input'!F17/'P&amp;L Input'!F$14</f>
        <v>0.191936933608083</v>
      </c>
      <c r="G17" s="528">
        <f>'P&amp;L Input'!G17/'P&amp;L Input'!G$14</f>
        <v>0.185930031371892</v>
      </c>
    </row>
    <row r="18" ht="14.25" customHeight="1" spans="2:10">
      <c r="B18" s="449" t="s">
        <v>91</v>
      </c>
      <c r="C18" s="528">
        <f>'P&amp;L Input'!C18/'P&amp;L Input'!C$14</f>
        <v>0.0577471020112537</v>
      </c>
      <c r="D18" s="528">
        <f>'P&amp;L Input'!D18/'P&amp;L Input'!D$14</f>
        <v>0.0544019405859736</v>
      </c>
      <c r="E18" s="528">
        <f>'P&amp;L Input'!E18/'P&amp;L Input'!E$14</f>
        <v>0.0496540036904512</v>
      </c>
      <c r="F18" s="528">
        <f>'P&amp;L Input'!F18/'P&amp;L Input'!F$14</f>
        <v>0.0410824082874033</v>
      </c>
      <c r="G18" s="528">
        <f>'P&amp;L Input'!G18/'P&amp;L Input'!G$14</f>
        <v>0.0259207512415215</v>
      </c>
    </row>
    <row r="19" ht="27.75" customHeight="1" spans="2:10">
      <c r="B19" s="449" t="s">
        <v>92</v>
      </c>
      <c r="C19" s="528">
        <f>'P&amp;L Input'!C19/'P&amp;L Input'!C$14</f>
        <v>0.0944951025442172</v>
      </c>
      <c r="D19" s="528">
        <f>'P&amp;L Input'!D19/'P&amp;L Input'!D$14</f>
        <v>0.0838919371165622</v>
      </c>
      <c r="E19" s="528">
        <f>'P&amp;L Input'!E19/'P&amp;L Input'!E$14</f>
        <v>0.0794873522135442</v>
      </c>
      <c r="F19" s="528">
        <f>'P&amp;L Input'!F19/'P&amp;L Input'!F$14</f>
        <v>0.0792225432218008</v>
      </c>
      <c r="G19" s="528">
        <f>'P&amp;L Input'!G19/'P&amp;L Input'!G$14</f>
        <v>0.0719065101704897</v>
      </c>
    </row>
    <row r="20" ht="14.25" customHeight="1" spans="2:10">
      <c r="B20" s="449" t="s">
        <v>93</v>
      </c>
      <c r="C20" s="528">
        <f>'P&amp;L Input'!C20/'P&amp;L Input'!C$14</f>
        <v>0.0378651739134891</v>
      </c>
      <c r="D20" s="528">
        <f>'P&amp;L Input'!D20/'P&amp;L Input'!D$14</f>
        <v>0.0344856633357462</v>
      </c>
      <c r="E20" s="528">
        <f>'P&amp;L Input'!E20/'P&amp;L Input'!E$14</f>
        <v>0.0351550478213262</v>
      </c>
      <c r="F20" s="528">
        <f>'P&amp;L Input'!F20/'P&amp;L Input'!F$14</f>
        <v>0.0361419555233219</v>
      </c>
      <c r="G20" s="528">
        <f>'P&amp;L Input'!G20/'P&amp;L Input'!G$14</f>
        <v>0.0354614175305592</v>
      </c>
    </row>
    <row r="21" ht="27.75" customHeight="1" spans="2:10">
      <c r="B21" s="449" t="s">
        <v>94</v>
      </c>
      <c r="C21" s="528">
        <f>'P&amp;L Input'!C21/'P&amp;L Input'!C$14</f>
        <v>0.0452976225047232</v>
      </c>
      <c r="D21" s="528">
        <f>'P&amp;L Input'!D21/'P&amp;L Input'!D$14</f>
        <v>0.0517227840384234</v>
      </c>
      <c r="E21" s="528">
        <f>'P&amp;L Input'!E21/'P&amp;L Input'!E$14</f>
        <v>0.0712478981995512</v>
      </c>
      <c r="F21" s="528">
        <f>'P&amp;L Input'!F21/'P&amp;L Input'!F$14</f>
        <v>0.0656517656790917</v>
      </c>
      <c r="G21" s="528">
        <f>'P&amp;L Input'!G21/'P&amp;L Input'!G$14</f>
        <v>0.0613092000050517</v>
      </c>
    </row>
    <row r="22" ht="14.25" customHeight="1" spans="2:10">
      <c r="B22" s="449" t="s">
        <v>95</v>
      </c>
      <c r="C22" s="528">
        <f>'P&amp;L Input'!C22/'P&amp;L Input'!C$14</f>
        <v>0.0549276912091779</v>
      </c>
      <c r="D22" s="528">
        <f>'P&amp;L Input'!D22/'P&amp;L Input'!D$14</f>
        <v>0.056248723956214</v>
      </c>
      <c r="E22" s="528">
        <f>'P&amp;L Input'!E22/'P&amp;L Input'!E$14</f>
        <v>0.0396664064594783</v>
      </c>
      <c r="F22" s="528">
        <f>'P&amp;L Input'!F22/'P&amp;L Input'!F$14</f>
        <v>0.0432656255281169</v>
      </c>
      <c r="G22" s="528">
        <f>'P&amp;L Input'!G22/'P&amp;L Input'!G$14</f>
        <v>0.046518524477981</v>
      </c>
    </row>
    <row r="23" ht="14.25" customHeight="1" spans="2:10">
      <c r="B23" s="449"/>
      <c r="C23" s="528"/>
      <c r="D23" s="528"/>
      <c r="E23" s="528"/>
      <c r="F23" s="528"/>
      <c r="G23" s="528"/>
    </row>
    <row r="24" ht="14.25" customHeight="1" spans="2:10">
      <c r="B24" s="529" t="s">
        <v>96</v>
      </c>
      <c r="C24" s="530">
        <f>'P&amp;L Input'!C24/'P&amp;L Input'!C$14</f>
        <v>0.504034806612846</v>
      </c>
      <c r="D24" s="530">
        <f>'P&amp;L Input'!D24/'P&amp;L Input'!D$14</f>
        <v>0.484513290129882</v>
      </c>
      <c r="E24" s="530">
        <f>'P&amp;L Input'!E24/'P&amp;L Input'!E$14</f>
        <v>0.47346216891277</v>
      </c>
      <c r="F24" s="530">
        <f>'P&amp;L Input'!F24/'P&amp;L Input'!F$14</f>
        <v>0.457301231847818</v>
      </c>
      <c r="G24" s="531">
        <f>'P&amp;L Input'!G24/'P&amp;L Input'!G$14</f>
        <v>0.427046434797495</v>
      </c>
    </row>
    <row r="25" ht="14.25" customHeight="1" spans="2:10">
      <c r="B25" s="449"/>
      <c r="C25" s="528"/>
      <c r="D25" s="528"/>
      <c r="E25" s="528"/>
      <c r="F25" s="528"/>
      <c r="G25" s="528"/>
    </row>
    <row r="26" ht="14.25" customHeight="1" spans="2:10">
      <c r="B26" s="532" t="s">
        <v>97</v>
      </c>
      <c r="C26" s="528">
        <f>'P&amp;L Input'!C26/'P&amp;L Input'!C$14</f>
        <v>0.495965193387154</v>
      </c>
      <c r="D26" s="528">
        <f>'P&amp;L Input'!D26/'P&amp;L Input'!D$14</f>
        <v>0.515486709870118</v>
      </c>
      <c r="E26" s="528">
        <f>'P&amp;L Input'!E26/'P&amp;L Input'!E$14</f>
        <v>0.52653783108723</v>
      </c>
      <c r="F26" s="528">
        <f>'P&amp;L Input'!F26/'P&amp;L Input'!F$14</f>
        <v>0.542698768152182</v>
      </c>
      <c r="G26" s="528">
        <f>'P&amp;L Input'!G26/'P&amp;L Input'!G$14</f>
        <v>0.572953565202505</v>
      </c>
    </row>
    <row r="27" ht="14.25" customHeight="1" spans="2:10">
      <c r="B27" s="449"/>
      <c r="C27" s="528"/>
      <c r="D27" s="528"/>
      <c r="E27" s="528"/>
      <c r="F27" s="528"/>
      <c r="G27" s="528"/>
    </row>
    <row r="28" ht="14.25" customHeight="1" spans="2:10">
      <c r="B28" s="449" t="s">
        <v>98</v>
      </c>
      <c r="C28" s="528">
        <f>'P&amp;L Input'!C28/'P&amp;L Input'!C$14</f>
        <v>0.282630345435476</v>
      </c>
      <c r="D28" s="528">
        <f>'P&amp;L Input'!D28/'P&amp;L Input'!D$14</f>
        <v>0.26007592728228</v>
      </c>
      <c r="E28" s="528">
        <f>'P&amp;L Input'!E28/'P&amp;L Input'!E$14</f>
        <v>0.261115932208763</v>
      </c>
      <c r="F28" s="528">
        <f>'P&amp;L Input'!F28/'P&amp;L Input'!F$14</f>
        <v>0.261059733992366</v>
      </c>
      <c r="G28" s="528">
        <f>'P&amp;L Input'!G28/'P&amp;L Input'!G$14</f>
        <v>0.246553979814781</v>
      </c>
    </row>
    <row r="29" ht="14.25" customHeight="1" spans="2:10">
      <c r="B29" s="449"/>
      <c r="C29" s="528"/>
      <c r="D29" s="528"/>
      <c r="E29" s="528"/>
      <c r="F29" s="528"/>
      <c r="G29" s="528"/>
    </row>
    <row r="30" ht="14.25" customHeight="1" spans="2:10">
      <c r="B30" s="532" t="s">
        <v>99</v>
      </c>
      <c r="C30" s="528">
        <f>'P&amp;L Input'!C30/'P&amp;L Input'!C$14</f>
        <v>0.213334847951678</v>
      </c>
      <c r="D30" s="528">
        <f>'P&amp;L Input'!D30/'P&amp;L Input'!D$14</f>
        <v>0.255410782587838</v>
      </c>
      <c r="E30" s="528">
        <f>'P&amp;L Input'!E30/'P&amp;L Input'!E$14</f>
        <v>0.265421898878467</v>
      </c>
      <c r="F30" s="528">
        <f>'P&amp;L Input'!F30/'P&amp;L Input'!F$14</f>
        <v>0.281639034159817</v>
      </c>
      <c r="G30" s="528">
        <f>'P&amp;L Input'!G30/'P&amp;L Input'!G$14</f>
        <v>0.326399585387724</v>
      </c>
      <c r="J30" s="139"/>
    </row>
    <row r="31" ht="14.25" customHeight="1" spans="2:10">
      <c r="B31" s="532"/>
      <c r="C31" s="528"/>
      <c r="D31" s="528"/>
      <c r="E31" s="528"/>
      <c r="F31" s="528"/>
      <c r="G31" s="528"/>
    </row>
    <row r="32" ht="14.25" customHeight="1" spans="2:10">
      <c r="B32" s="449" t="s">
        <v>100</v>
      </c>
      <c r="C32" s="528">
        <f>'P&amp;L Input'!C32/'P&amp;L Input'!C$14</f>
        <v>0.141920308298856</v>
      </c>
      <c r="D32" s="528">
        <f>'P&amp;L Input'!D32/'P&amp;L Input'!D$14</f>
        <v>0.137776321481653</v>
      </c>
      <c r="E32" s="528">
        <f>'P&amp;L Input'!E32/'P&amp;L Input'!E$14</f>
        <v>0.149570922309002</v>
      </c>
      <c r="F32" s="528">
        <f>'P&amp;L Input'!F32/'P&amp;L Input'!F$14</f>
        <v>0.124622118952399</v>
      </c>
      <c r="G32" s="528">
        <f>'P&amp;L Input'!G32/'P&amp;L Input'!G$14</f>
        <v>0.100824593842278</v>
      </c>
    </row>
    <row r="33" ht="14.25" customHeight="1" spans="2:7">
      <c r="B33" s="125" t="s">
        <v>101</v>
      </c>
      <c r="C33" s="528">
        <f>'P&amp;L Input'!C33/'P&amp;L Input'!C$14</f>
        <v>-0.0206967472147535</v>
      </c>
      <c r="D33" s="528">
        <f>'P&amp;L Input'!D33/'P&amp;L Input'!D$14</f>
        <v>-0.00536902115484283</v>
      </c>
      <c r="E33" s="528">
        <f>'P&amp;L Input'!E33/'P&amp;L Input'!E$14</f>
        <v>-0.0178935369553646</v>
      </c>
      <c r="F33" s="528">
        <f>'P&amp;L Input'!F33/'P&amp;L Input'!F$14</f>
        <v>-0.0212134700665506</v>
      </c>
      <c r="G33" s="528">
        <f>'P&amp;L Input'!G33/'P&amp;L Input'!G$14</f>
        <v>-0.00170494330654226</v>
      </c>
    </row>
    <row r="34" ht="14.25" customHeight="1" spans="2:7">
      <c r="B34" s="449"/>
      <c r="C34" s="528"/>
      <c r="D34" s="528"/>
      <c r="E34" s="528"/>
      <c r="F34" s="528"/>
      <c r="G34" s="528"/>
    </row>
    <row r="35" ht="27.75" customHeight="1" spans="2:7">
      <c r="B35" s="533" t="s">
        <v>102</v>
      </c>
      <c r="C35" s="528">
        <f>'P&amp;L Input'!C35/'P&amp;L Input'!C$14</f>
        <v>0.0921112868675757</v>
      </c>
      <c r="D35" s="528">
        <f>'P&amp;L Input'!D35/'P&amp;L Input'!D$14</f>
        <v>0.123003482261028</v>
      </c>
      <c r="E35" s="528">
        <f>'P&amp;L Input'!E35/'P&amp;L Input'!E$14</f>
        <v>0.13374451352483</v>
      </c>
      <c r="F35" s="528">
        <f>'P&amp;L Input'!F35/'P&amp;L Input'!F$14</f>
        <v>0.178230385273968</v>
      </c>
      <c r="G35" s="528">
        <f>'P&amp;L Input'!G35/'P&amp;L Input'!G$14</f>
        <v>0.227279934851988</v>
      </c>
    </row>
    <row r="36" ht="14.25" customHeight="1" spans="2:7">
      <c r="B36" s="449"/>
      <c r="C36" s="528"/>
      <c r="D36" s="528"/>
      <c r="E36" s="528"/>
      <c r="F36" s="528"/>
      <c r="G36" s="528"/>
    </row>
    <row r="37" ht="14.25" customHeight="1" spans="2:7">
      <c r="B37" s="449" t="s">
        <v>103</v>
      </c>
      <c r="C37" s="528">
        <f>'P&amp;L Input'!C37/'P&amp;L Input'!C$14</f>
        <v>-0.0145078800012299</v>
      </c>
      <c r="D37" s="528">
        <f>'P&amp;L Input'!D37/'P&amp;L Input'!D$14</f>
        <v>0.00478150561030943</v>
      </c>
      <c r="E37" s="528">
        <f>'P&amp;L Input'!E37/'P&amp;L Input'!E$14</f>
        <v>0.0500093119831354</v>
      </c>
      <c r="F37" s="528">
        <f>'P&amp;L Input'!F37/'P&amp;L Input'!F$14</f>
        <v>-0.041744076068307</v>
      </c>
      <c r="G37" s="528">
        <f>'P&amp;L Input'!G37/'P&amp;L Input'!G$14</f>
        <v>0.0159853052129168</v>
      </c>
    </row>
    <row r="38" ht="14.25" customHeight="1" spans="2:7">
      <c r="B38" s="449"/>
      <c r="C38" s="528"/>
      <c r="D38" s="528"/>
      <c r="E38" s="528"/>
      <c r="F38" s="528"/>
      <c r="G38" s="528"/>
    </row>
    <row r="39" ht="14.25" customHeight="1" spans="2:7">
      <c r="B39" s="532" t="s">
        <v>104</v>
      </c>
      <c r="C39" s="528">
        <f>'P&amp;L Input'!C39/'P&amp;L Input'!C$14</f>
        <v>0.106619166868806</v>
      </c>
      <c r="D39" s="528">
        <f>'P&amp;L Input'!D39/'P&amp;L Input'!D$14</f>
        <v>0.118221976650719</v>
      </c>
      <c r="E39" s="528">
        <f>'P&amp;L Input'!E39/'P&amp;L Input'!E$14</f>
        <v>0.0837352015416946</v>
      </c>
      <c r="F39" s="528">
        <f>'P&amp;L Input'!F39/'P&amp;L Input'!F$14</f>
        <v>0.219974461342275</v>
      </c>
      <c r="G39" s="528">
        <f>'P&amp;L Input'!G39/'P&amp;L Input'!G$14</f>
        <v>0.211294629639071</v>
      </c>
    </row>
    <row r="40" ht="14.25" customHeight="1" spans="2:7">
      <c r="B40" s="449"/>
      <c r="C40" s="528"/>
      <c r="D40" s="528"/>
      <c r="E40" s="528"/>
      <c r="F40" s="528"/>
      <c r="G40" s="528"/>
    </row>
    <row r="41" ht="14.25" customHeight="1" spans="2:7">
      <c r="B41" s="449" t="s">
        <v>105</v>
      </c>
      <c r="C41" s="528">
        <f>'P&amp;L Input'!C41/'P&amp;L Input'!C$14</f>
        <v>0.0356837818539612</v>
      </c>
      <c r="D41" s="528">
        <f>'P&amp;L Input'!D41/'P&amp;L Input'!D$14</f>
        <v>0.0305058344648183</v>
      </c>
      <c r="E41" s="528">
        <f>'P&amp;L Input'!E41/'P&amp;L Input'!E$14</f>
        <v>0.0272160868801422</v>
      </c>
      <c r="F41" s="528">
        <f>'P&amp;L Input'!F41/'P&amp;L Input'!F$14</f>
        <v>0.00525438691467465</v>
      </c>
      <c r="G41" s="528">
        <f>'P&amp;L Input'!G41/'P&amp;L Input'!G$14</f>
        <v>0.0530889877501344</v>
      </c>
    </row>
    <row r="42" ht="14.25" customHeight="1" spans="2:7">
      <c r="B42" s="449"/>
      <c r="C42" s="528"/>
      <c r="D42" s="528"/>
      <c r="E42" s="528"/>
      <c r="F42" s="528"/>
      <c r="G42" s="528"/>
    </row>
    <row r="43" ht="14.25" customHeight="1" spans="2:7">
      <c r="B43" s="534" t="s">
        <v>106</v>
      </c>
      <c r="C43" s="535">
        <f>'P&amp;L Input'!C43/'P&amp;L Input'!C$14</f>
        <v>0.0709353850148444</v>
      </c>
      <c r="D43" s="530">
        <f>'P&amp;L Input'!D43/'P&amp;L Input'!D$14</f>
        <v>0.0877161421859005</v>
      </c>
      <c r="E43" s="530">
        <f>'P&amp;L Input'!E43/'P&amp;L Input'!E$14</f>
        <v>0.0565191146615523</v>
      </c>
      <c r="F43" s="530">
        <f>'P&amp;L Input'!F43/'P&amp;L Input'!F$14</f>
        <v>0.2147200744276</v>
      </c>
      <c r="G43" s="531">
        <f>'P&amp;L Input'!G43/'P&amp;L Input'!G$14</f>
        <v>0.158205641888937</v>
      </c>
    </row>
    <row r="46" ht="14.25" customHeight="1" spans="2:7">
      <c r="B46" s="124" t="s">
        <v>118</v>
      </c>
      <c r="C46" s="536"/>
      <c r="D46" s="536"/>
      <c r="E46" s="536"/>
      <c r="F46" s="536"/>
      <c r="G46" s="536"/>
    </row>
    <row r="47" ht="14.25" customHeight="1" spans="2:7">
      <c r="B47" s="537" t="s">
        <v>119</v>
      </c>
      <c r="C47" s="538"/>
      <c r="D47" s="538"/>
      <c r="E47" s="538"/>
      <c r="F47" s="538"/>
      <c r="G47" s="539"/>
    </row>
    <row r="48" ht="14.25" customHeight="1" spans="2:7">
      <c r="B48" s="123" t="s">
        <v>120</v>
      </c>
      <c r="C48" s="540">
        <f>'BS Input'!C10/'BS Input'!C$38</f>
        <v>0.249060925710012</v>
      </c>
      <c r="D48" s="540">
        <f>'BS Input'!D10/'BS Input'!D$38</f>
        <v>0.213204257990673</v>
      </c>
      <c r="E48" s="540">
        <f>'BS Input'!E10/'BS Input'!E$38</f>
        <v>0.239830518006618</v>
      </c>
      <c r="F48" s="540">
        <f>'BS Input'!F10/'BS Input'!F$38</f>
        <v>0.278544771331541</v>
      </c>
      <c r="G48" s="540">
        <f>'BS Input'!G10/'BS Input'!G$38</f>
        <v>0.284461550052558</v>
      </c>
    </row>
    <row r="49" ht="14.25" customHeight="1" spans="2:7">
      <c r="B49" s="123" t="s">
        <v>121</v>
      </c>
      <c r="C49" s="540">
        <f>'BS Input'!C11/'BS Input'!C$38</f>
        <v>0.0116555206018875</v>
      </c>
      <c r="D49" s="540">
        <f>'BS Input'!D11/'BS Input'!D$38</f>
        <v>0.0246943129171768</v>
      </c>
      <c r="E49" s="540">
        <f>'BS Input'!E11/'BS Input'!E$38</f>
        <v>0.0200384225172148</v>
      </c>
      <c r="F49" s="540">
        <f>'BS Input'!F11/'BS Input'!F$38</f>
        <v>0.020600730538354</v>
      </c>
      <c r="G49" s="540">
        <f>'BS Input'!G11/'BS Input'!G$38</f>
        <v>0.0228435451423124</v>
      </c>
    </row>
    <row r="50" ht="14.25" customHeight="1" spans="2:7">
      <c r="B50" s="123" t="s">
        <v>122</v>
      </c>
      <c r="C50" s="540">
        <f>'BS Input'!C12/'BS Input'!C$38</f>
        <v>0.0886238643113272</v>
      </c>
      <c r="D50" s="540">
        <f>'BS Input'!D12/'BS Input'!D$38</f>
        <v>0.122352301620211</v>
      </c>
      <c r="E50" s="540">
        <f>'BS Input'!E12/'BS Input'!E$38</f>
        <v>0.12583306900981</v>
      </c>
      <c r="F50" s="540">
        <f>'BS Input'!F12/'BS Input'!F$38</f>
        <v>0.117119241683458</v>
      </c>
      <c r="G50" s="540">
        <f>'BS Input'!G12/'BS Input'!G$38</f>
        <v>0.1219310059049</v>
      </c>
    </row>
    <row r="51" ht="14.25" customHeight="1" spans="2:7">
      <c r="B51" s="123" t="s">
        <v>123</v>
      </c>
      <c r="C51" s="540">
        <f>'BS Input'!C13/'BS Input'!C$38</f>
        <v>0.0930310513232285</v>
      </c>
      <c r="D51" s="540">
        <f>'BS Input'!D13/'BS Input'!D$38</f>
        <v>0.0756193225223741</v>
      </c>
      <c r="E51" s="540">
        <f>'BS Input'!E13/'BS Input'!E$38</f>
        <v>0.0596172145474669</v>
      </c>
      <c r="F51" s="540">
        <f>'BS Input'!F13/'BS Input'!F$38</f>
        <v>0.100508126208783</v>
      </c>
      <c r="G51" s="540">
        <f>'BS Input'!G13/'BS Input'!G$38</f>
        <v>0.10266365251862</v>
      </c>
    </row>
    <row r="52" ht="14.25" customHeight="1" spans="2:7">
      <c r="B52" s="123" t="s">
        <v>124</v>
      </c>
      <c r="C52" s="540">
        <f>'BS Input'!C14/'BS Input'!C$38</f>
        <v>0.240476989242581</v>
      </c>
      <c r="D52" s="540">
        <f>'BS Input'!D14/'BS Input'!D$38</f>
        <v>0.209901547847316</v>
      </c>
      <c r="E52" s="540">
        <f>'BS Input'!E14/'BS Input'!E$38</f>
        <v>0.257018295686915</v>
      </c>
      <c r="F52" s="540">
        <f>'BS Input'!F14/'BS Input'!F$38</f>
        <v>0.259073015729827</v>
      </c>
      <c r="G52" s="540">
        <f>'BS Input'!G14/'BS Input'!G$38</f>
        <v>0.226858710542539</v>
      </c>
    </row>
    <row r="53" ht="21" customHeight="1" spans="2:7">
      <c r="B53" s="123" t="s">
        <v>125</v>
      </c>
      <c r="C53" s="540">
        <f>'BS Input'!C15/'BS Input'!C$38</f>
        <v>0.00471902017291066</v>
      </c>
      <c r="D53" s="540">
        <f>'BS Input'!D15/'BS Input'!D$38</f>
        <v>0.0859678590843672</v>
      </c>
      <c r="E53" s="540">
        <f>'BS Input'!E15/'BS Input'!E$38</f>
        <v>0.017988396759731</v>
      </c>
      <c r="F53" s="540">
        <f>'BS Input'!F15/'BS Input'!F$38</f>
        <v>0.000782914081255089</v>
      </c>
      <c r="G53" s="540">
        <f>'BS Input'!G15/'BS Input'!G$38</f>
        <v>0.000588606462428072</v>
      </c>
    </row>
    <row r="54" ht="12.75" customHeight="1" spans="2:7">
      <c r="B54" s="123" t="s">
        <v>126</v>
      </c>
      <c r="C54" s="540">
        <f>'BS Input'!C16/'BS Input'!C$38</f>
        <v>0.0781694788481422</v>
      </c>
      <c r="D54" s="540">
        <f>'BS Input'!D16/'BS Input'!D$38</f>
        <v>0.0631027877014069</v>
      </c>
      <c r="E54" s="540">
        <f>'BS Input'!E16/'BS Input'!E$38</f>
        <v>0.0702772135126684</v>
      </c>
      <c r="F54" s="540">
        <f>'BS Input'!F16/'BS Input'!F$38</f>
        <v>0.00707986073577981</v>
      </c>
      <c r="G54" s="540">
        <f>'BS Input'!G16/'BS Input'!G$38</f>
        <v>0.00735703745130866</v>
      </c>
    </row>
    <row r="55" ht="15" customHeight="1" spans="2:7">
      <c r="B55" s="541" t="s">
        <v>127</v>
      </c>
      <c r="C55" s="540"/>
      <c r="D55" s="540"/>
      <c r="E55" s="540"/>
      <c r="F55" s="540"/>
      <c r="G55" s="540"/>
    </row>
    <row r="56" ht="14.25" customHeight="1" spans="2:7">
      <c r="B56" s="123" t="s">
        <v>128</v>
      </c>
      <c r="C56" s="540">
        <f>'BS Input'!C18/'BS Input'!C$38</f>
        <v>0.000167465956838331</v>
      </c>
      <c r="D56" s="540">
        <f>'BS Input'!D18/'BS Input'!D$38</f>
        <v>0.000146876676431577</v>
      </c>
      <c r="E56" s="540">
        <f>'BS Input'!E18/'BS Input'!E$38</f>
        <v>0.000207859519358605</v>
      </c>
      <c r="F56" s="540">
        <f>'BS Input'!F18/'BS Input'!F$38</f>
        <v>0.00105665210618858</v>
      </c>
      <c r="G56" s="540">
        <f>'BS Input'!G18/'BS Input'!G$38</f>
        <v>0.00206193371530572</v>
      </c>
    </row>
    <row r="57" ht="14.25" customHeight="1" spans="2:7">
      <c r="B57" s="123" t="s">
        <v>129</v>
      </c>
      <c r="C57" s="540">
        <f>'BS Input'!C19/'BS Input'!C$38</f>
        <v>5.99467628748048e-5</v>
      </c>
      <c r="D57" s="540">
        <f>'BS Input'!D19/'BS Input'!D$38</f>
        <v>0.000191208356208182</v>
      </c>
      <c r="E57" s="540">
        <f>'BS Input'!E19/'BS Input'!E$38</f>
        <v>1.46221523358326e-5</v>
      </c>
      <c r="F57" s="540" t="s">
        <v>109</v>
      </c>
      <c r="G57" s="540" t="s">
        <v>109</v>
      </c>
    </row>
    <row r="58" ht="14.25" customHeight="1" spans="2:7">
      <c r="B58" s="123" t="s">
        <v>130</v>
      </c>
      <c r="C58" s="540">
        <f>'BS Input'!C20/'BS Input'!C$38</f>
        <v>0</v>
      </c>
      <c r="D58" s="540">
        <f>'BS Input'!D20/'BS Input'!D$38</f>
        <v>0</v>
      </c>
      <c r="E58" s="540">
        <f>'BS Input'!E20/'BS Input'!E$38</f>
        <v>0.000406045922556582</v>
      </c>
      <c r="F58" s="540">
        <f>'BS Input'!F20/'BS Input'!F$38</f>
        <v>0.00041430094540715</v>
      </c>
      <c r="G58" s="540">
        <f>'BS Input'!G20/'BS Input'!G$38</f>
        <v>0.00046074302782062</v>
      </c>
    </row>
    <row r="59" ht="14.25" customHeight="1" spans="2:7">
      <c r="B59" s="123" t="s">
        <v>131</v>
      </c>
      <c r="C59" s="540"/>
      <c r="D59" s="540"/>
      <c r="E59" s="540"/>
      <c r="F59" s="540">
        <f>'BS Input'!F21/'BS Input'!F$38</f>
        <v>0.000168170022420077</v>
      </c>
      <c r="G59" s="540" t="s">
        <v>109</v>
      </c>
    </row>
    <row r="60" ht="14.25" customHeight="1" spans="2:7">
      <c r="B60" s="123" t="s">
        <v>133</v>
      </c>
      <c r="C60" s="540">
        <f>'BS Input'!C22/'BS Input'!C$38</f>
        <v>0.0061912906703038</v>
      </c>
      <c r="D60" s="540">
        <f>'BS Input'!D22/'BS Input'!D$38</f>
        <v>0.00581304748505037</v>
      </c>
      <c r="E60" s="540">
        <f>'BS Input'!E22/'BS Input'!E$38</f>
        <v>0.00597416153204164</v>
      </c>
      <c r="F60" s="540">
        <f>'BS Input'!F22/'BS Input'!F$38</f>
        <v>0.00728496983826904</v>
      </c>
      <c r="G60" s="540">
        <f>'BS Input'!G22/'BS Input'!G$38</f>
        <v>0.00646561560267144</v>
      </c>
    </row>
    <row r="61" ht="14.25" customHeight="1" spans="2:7">
      <c r="B61" s="123" t="s">
        <v>134</v>
      </c>
      <c r="C61" s="540">
        <f>'BS Input'!C23/'BS Input'!C$38</f>
        <v>0.00480646545086565</v>
      </c>
      <c r="D61" s="540">
        <f>'BS Input'!D23/'BS Input'!D$38</f>
        <v>0.00456728250385327</v>
      </c>
      <c r="E61" s="540">
        <f>'BS Input'!E23/'BS Input'!E$38</f>
        <v>0.00317975574256913</v>
      </c>
      <c r="F61" s="540">
        <f>'BS Input'!F23/'BS Input'!F$38</f>
        <v>0.00485612811561699</v>
      </c>
      <c r="G61" s="540">
        <f>'BS Input'!G23/'BS Input'!G$38</f>
        <v>0.00365497446715721</v>
      </c>
    </row>
    <row r="62" ht="14.25" customHeight="1" spans="2:7">
      <c r="B62" s="123" t="s">
        <v>135</v>
      </c>
      <c r="C62" s="540">
        <f>'BS Input'!C24/'BS Input'!C$38</f>
        <v>0.05479079129727</v>
      </c>
      <c r="D62" s="540">
        <f>'BS Input'!D24/'BS Input'!D$38</f>
        <v>0.0424328061595063</v>
      </c>
      <c r="E62" s="540">
        <f>'BS Input'!E24/'BS Input'!E$38</f>
        <v>0.0432878696873784</v>
      </c>
      <c r="F62" s="540">
        <f>'BS Input'!F24/'BS Input'!F$38</f>
        <v>0.0484312167110843</v>
      </c>
      <c r="G62" s="540">
        <f>'BS Input'!G24/'BS Input'!G$38</f>
        <v>0.0346667473208445</v>
      </c>
    </row>
    <row r="63" ht="14.25" customHeight="1" spans="2:7">
      <c r="B63" s="123" t="s">
        <v>136</v>
      </c>
      <c r="C63" s="540">
        <f>'BS Input'!C25/'BS Input'!C$38</f>
        <v>0.0251781903777196</v>
      </c>
      <c r="D63" s="540">
        <f>'BS Input'!D25/'BS Input'!D$38</f>
        <v>0.0232624892193415</v>
      </c>
      <c r="E63" s="540">
        <f>'BS Input'!E25/'BS Input'!E$38</f>
        <v>0.0252308612897638</v>
      </c>
      <c r="F63" s="540">
        <f>'BS Input'!F25/'BS Input'!F$38</f>
        <v>0.0226763180058185</v>
      </c>
      <c r="G63" s="540">
        <f>'BS Input'!G25/'BS Input'!G$38</f>
        <v>0.0225970548668156</v>
      </c>
    </row>
    <row r="64" ht="14.25" customHeight="1" spans="2:7">
      <c r="B64" s="542" t="s">
        <v>137</v>
      </c>
      <c r="C64" s="543">
        <f>'BS Input'!C26/'BS Input'!C$38</f>
        <v>0.856931000725961</v>
      </c>
      <c r="D64" s="543">
        <f>'BS Input'!D26/'BS Input'!D$38</f>
        <v>0.871256100083917</v>
      </c>
      <c r="E64" s="543">
        <f>'BS Input'!E26/'BS Input'!E$38</f>
        <v>0.868904305886429</v>
      </c>
      <c r="F64" s="543">
        <f>'BS Input'!F26/'BS Input'!F$38</f>
        <v>0.868596416053802</v>
      </c>
      <c r="G64" s="544">
        <f>'BS Input'!G26/'BS Input'!G$38</f>
        <v>0.836611177075282</v>
      </c>
    </row>
    <row r="65" ht="14.25" customHeight="1" spans="1:7">
      <c r="B65" s="124" t="s">
        <v>138</v>
      </c>
      <c r="C65" s="540">
        <f>'BS Input'!C27/'BS Input'!C$38</f>
        <v>0</v>
      </c>
      <c r="D65" s="540">
        <f>'BS Input'!D27/'BS Input'!D$38</f>
        <v>0</v>
      </c>
      <c r="E65" s="540">
        <f>'BS Input'!E27/'BS Input'!E$38</f>
        <v>0</v>
      </c>
      <c r="F65" s="540">
        <f>'BS Input'!F27/'BS Input'!F$38</f>
        <v>0</v>
      </c>
      <c r="G65" s="540">
        <f>'BS Input'!G27/'BS Input'!G$38</f>
        <v>0</v>
      </c>
    </row>
    <row r="66" ht="14.25" customHeight="1" spans="1:7">
      <c r="B66" s="123" t="s">
        <v>139</v>
      </c>
      <c r="C66" s="540">
        <f>'BS Input'!C28/'BS Input'!C$38</f>
        <v>0.00103119431550696</v>
      </c>
      <c r="D66" s="540">
        <f>'BS Input'!D28/'BS Input'!D$38</f>
        <v>0.000576759631841072</v>
      </c>
      <c r="E66" s="540">
        <f>'BS Input'!E28/'BS Input'!E$38</f>
        <v>0.000818615574616843</v>
      </c>
      <c r="F66" s="540">
        <f>'BS Input'!F28/'BS Input'!F$38</f>
        <v>0.000878178024591318</v>
      </c>
      <c r="G66" s="540">
        <f>'BS Input'!G28/'BS Input'!G$38</f>
        <v>0.00108828807160932</v>
      </c>
    </row>
    <row r="67" ht="14.25" customHeight="1" spans="1:7">
      <c r="B67" s="123" t="s">
        <v>128</v>
      </c>
      <c r="C67" s="540">
        <f>'BS Input'!C29/'BS Input'!C$38</f>
        <v>0.00236872208900719</v>
      </c>
      <c r="D67" s="540">
        <f>'BS Input'!D29/'BS Input'!D$38</f>
        <v>0.0105332518943957</v>
      </c>
      <c r="E67" s="540">
        <f>'BS Input'!E29/'BS Input'!E$38</f>
        <v>0.000606256931462598</v>
      </c>
      <c r="F67" s="540">
        <f>'BS Input'!F29/'BS Input'!F$38</f>
        <v>0.00321408879843783</v>
      </c>
      <c r="G67" s="540">
        <f>'BS Input'!G29/'BS Input'!G$38</f>
        <v>0.0248131129204371</v>
      </c>
    </row>
    <row r="68" ht="14.25" customHeight="1" spans="1:7">
      <c r="B68" s="123" t="s">
        <v>140</v>
      </c>
      <c r="C68" s="540">
        <f>'BS Input'!C30/'BS Input'!C$38</f>
        <v>0.000154266669599842</v>
      </c>
      <c r="D68" s="540">
        <f>'BS Input'!D30/'BS Input'!D$38</f>
        <v>0.000287260329057491</v>
      </c>
      <c r="E68" s="540">
        <f>'BS Input'!E30/'BS Input'!E$38</f>
        <v>0.000262748829665423</v>
      </c>
      <c r="F68" s="540">
        <f>'BS Input'!F30/'BS Input'!F$38</f>
        <v>0.000158060379453784</v>
      </c>
      <c r="G68" s="540">
        <f>'BS Input'!G30/'BS Input'!G$38</f>
        <v>0.00091279279096538</v>
      </c>
    </row>
    <row r="69" ht="14.25" customHeight="1" spans="1:7">
      <c r="B69" s="123" t="s">
        <v>130</v>
      </c>
      <c r="C69" s="540">
        <f>'BS Input'!C31/'BS Input'!C$38</f>
        <v>0.0111539476868249</v>
      </c>
      <c r="D69" s="540">
        <f>'BS Input'!D31/'BS Input'!D$38</f>
        <v>0.00891447389043179</v>
      </c>
      <c r="E69" s="540">
        <f>'BS Input'!E31/'BS Input'!E$38</f>
        <v>0.0106352537843255</v>
      </c>
      <c r="F69" s="540">
        <f>'BS Input'!F31/'BS Input'!F$38</f>
        <v>0.0144950894353453</v>
      </c>
      <c r="G69" s="540">
        <f>'BS Input'!G31/'BS Input'!G$38</f>
        <v>0.0144482058912806</v>
      </c>
    </row>
    <row r="70" ht="14.25" customHeight="1" spans="1:7">
      <c r="B70" s="123" t="s">
        <v>141</v>
      </c>
      <c r="C70" s="540">
        <f>'BS Input'!C32/'BS Input'!C$38</f>
        <v>0.0167628198077304</v>
      </c>
      <c r="D70" s="540">
        <f>'BS Input'!D32/'BS Input'!D$38</f>
        <v>0.0160744879690986</v>
      </c>
      <c r="E70" s="540">
        <f>'BS Input'!E32/'BS Input'!E$38</f>
        <v>0.015556845304377</v>
      </c>
      <c r="F70" s="540">
        <f>'BS Input'!F32/'BS Input'!F$38</f>
        <v>0.0118702761721159</v>
      </c>
      <c r="G70" s="540">
        <f>'BS Input'!G32/'BS Input'!G$38</f>
        <v>0.0248522326114784</v>
      </c>
    </row>
    <row r="71" ht="14.25" customHeight="1" spans="1:7">
      <c r="B71" s="123" t="s">
        <v>142</v>
      </c>
      <c r="C71" s="540">
        <f>'BS Input'!C33/'BS Input'!C$38</f>
        <v>0.0203445013969246</v>
      </c>
      <c r="D71" s="540">
        <f>'BS Input'!D33/'BS Input'!D$38</f>
        <v>0.0139694048718277</v>
      </c>
      <c r="E71" s="540">
        <f>'BS Input'!E33/'BS Input'!E$38</f>
        <v>0.0212007711498186</v>
      </c>
      <c r="F71" s="540">
        <f>'BS Input'!F33/'BS Input'!F$38</f>
        <v>0.0206359198725252</v>
      </c>
      <c r="G71" s="540">
        <f>'BS Input'!G33/'BS Input'!G$38</f>
        <v>0.0301630928897064</v>
      </c>
    </row>
    <row r="72" ht="14.25" customHeight="1" spans="1:7">
      <c r="B72" s="123" t="s">
        <v>133</v>
      </c>
      <c r="C72" s="540">
        <f>'BS Input'!C34/'BS Input'!C$38</f>
        <v>0.0590384869217062</v>
      </c>
      <c r="D72" s="540">
        <f>'BS Input'!D34/'BS Input'!D$38</f>
        <v>0.0494510932013115</v>
      </c>
      <c r="E72" s="540">
        <f>'BS Input'!E34/'BS Input'!E$38</f>
        <v>0.0561364674229694</v>
      </c>
      <c r="F72" s="540">
        <f>'BS Input'!F34/'BS Input'!F$38</f>
        <v>0.0520378318393096</v>
      </c>
      <c r="G72" s="540">
        <f>'BS Input'!G34/'BS Input'!G$38</f>
        <v>0.0442385750580094</v>
      </c>
    </row>
    <row r="73" ht="14.25" customHeight="1" spans="1:7">
      <c r="B73" s="123" t="s">
        <v>143</v>
      </c>
      <c r="C73" s="540">
        <f>'BS Input'!C35/'BS Input'!C$38</f>
        <v>0.0322150603867391</v>
      </c>
      <c r="D73" s="540">
        <f>'BS Input'!D35/'BS Input'!D$38</f>
        <v>0.0289371681281195</v>
      </c>
      <c r="E73" s="540">
        <f>'BS Input'!E35/'BS Input'!E$38</f>
        <v>0.0258787351163361</v>
      </c>
      <c r="F73" s="540">
        <f>'BS Input'!F35/'BS Input'!F$38</f>
        <v>0.0281141394244191</v>
      </c>
      <c r="G73" s="540">
        <f>'BS Input'!G35/'BS Input'!G$38</f>
        <v>0.0227687468441638</v>
      </c>
    </row>
    <row r="74" ht="14.25" customHeight="1" spans="1:7">
      <c r="B74" s="123" t="s">
        <v>144</v>
      </c>
      <c r="C74" s="540" t="s">
        <v>109</v>
      </c>
      <c r="D74" s="540" t="s">
        <v>109</v>
      </c>
      <c r="E74" s="540" t="s">
        <v>109</v>
      </c>
      <c r="F74" s="540" t="s">
        <v>109</v>
      </c>
      <c r="G74" s="540">
        <f>'BS Input'!G36/'BS Input'!G$38</f>
        <v>0.000103775847068088</v>
      </c>
    </row>
    <row r="75" ht="14.25" customHeight="1" spans="1:7">
      <c r="A75" s="545"/>
      <c r="B75" s="546" t="s">
        <v>145</v>
      </c>
      <c r="C75" s="543">
        <f>'BS Input'!C37/'BS Input'!C$38</f>
        <v>0.143068999274039</v>
      </c>
      <c r="D75" s="543">
        <f>'BS Input'!D37/'BS Input'!D$38</f>
        <v>0.128743899916083</v>
      </c>
      <c r="E75" s="543">
        <f>'BS Input'!E37/'BS Input'!E$38</f>
        <v>0.131095694113571</v>
      </c>
      <c r="F75" s="543">
        <f>'BS Input'!F37/'BS Input'!F$38</f>
        <v>0.131403583946198</v>
      </c>
      <c r="G75" s="543">
        <f>'BS Input'!G37/'BS Input'!G$38</f>
        <v>0.163388822924719</v>
      </c>
    </row>
    <row r="76" ht="15" customHeight="1" spans="1:7">
      <c r="A76" s="547"/>
      <c r="B76" s="548" t="s">
        <v>146</v>
      </c>
      <c r="C76" s="549">
        <f>'BS Input'!C38/'BS Input'!C$38</f>
        <v>1</v>
      </c>
      <c r="D76" s="549">
        <f>'BS Input'!D38/'BS Input'!D$38</f>
        <v>1</v>
      </c>
      <c r="E76" s="549">
        <f>'BS Input'!E38/'BS Input'!E$38</f>
        <v>1</v>
      </c>
      <c r="F76" s="549">
        <f>'BS Input'!F38/'BS Input'!F$38</f>
        <v>1</v>
      </c>
      <c r="G76" s="549">
        <f>'BS Input'!G38/'BS Input'!G$38</f>
        <v>1</v>
      </c>
    </row>
    <row r="77" ht="15" customHeight="1"/>
    <row r="78" ht="21" customHeight="1" spans="1:7">
      <c r="B78" s="550" t="s">
        <v>147</v>
      </c>
      <c r="C78" s="551"/>
      <c r="D78" s="551"/>
      <c r="E78" s="551"/>
      <c r="F78" s="551"/>
      <c r="G78" s="552"/>
    </row>
    <row r="79" ht="14.25" customHeight="1" spans="1:7">
      <c r="B79" s="247" t="s">
        <v>148</v>
      </c>
      <c r="C79" s="540">
        <f>'BS Input'!C41/'BS Input'!C$70</f>
        <v>0.0076858349649119</v>
      </c>
      <c r="D79" s="540">
        <f>'BS Input'!D41/'BS Input'!D$70</f>
        <v>0.00635107287143007</v>
      </c>
      <c r="E79" s="540">
        <f>'BS Input'!E41/'BS Input'!E$70</f>
        <v>0.00647108975527016</v>
      </c>
      <c r="F79" s="540">
        <f>'BS Input'!F41/'BS Input'!F$70</f>
        <v>0.00563826453202852</v>
      </c>
      <c r="G79" s="540">
        <f>'BS Input'!G41/'BS Input'!G$70</f>
        <v>0.00551804975300262</v>
      </c>
    </row>
    <row r="80" ht="14.25" customHeight="1" spans="1:7">
      <c r="B80" s="255" t="s">
        <v>149</v>
      </c>
      <c r="C80" s="540">
        <f>'BS Input'!C42/'BS Input'!C$70</f>
        <v>0.175328607255208</v>
      </c>
      <c r="D80" s="540">
        <f>'BS Input'!D42/'BS Input'!D$70</f>
        <v>0.167310222348003</v>
      </c>
      <c r="E80" s="540">
        <f>'BS Input'!E42/'BS Input'!E$70</f>
        <v>0.178035277629682</v>
      </c>
      <c r="F80" s="540">
        <f>'BS Input'!F42/'BS Input'!F$70</f>
        <v>0.21535833629494</v>
      </c>
      <c r="G80" s="540">
        <f>'BS Input'!G42/'BS Input'!G$70</f>
        <v>0.264437882639478</v>
      </c>
    </row>
    <row r="81" ht="14.25" customHeight="1" spans="2:7">
      <c r="B81" s="251" t="s">
        <v>150</v>
      </c>
      <c r="C81" s="540">
        <f>'BS Input'!C43/'BS Input'!C$70</f>
        <v>0.18301444222012</v>
      </c>
      <c r="D81" s="540">
        <f>'BS Input'!D43/'BS Input'!D$70</f>
        <v>0.173661295219433</v>
      </c>
      <c r="E81" s="540">
        <f>'BS Input'!E43/'BS Input'!E$70</f>
        <v>0.184506367384952</v>
      </c>
      <c r="F81" s="540">
        <f>'BS Input'!F43/'BS Input'!F$70</f>
        <v>0.220996600826969</v>
      </c>
      <c r="G81" s="540">
        <f>'BS Input'!G43/'BS Input'!G$70</f>
        <v>0.269955932392481</v>
      </c>
    </row>
    <row r="82" ht="14.25" customHeight="1" spans="2:7">
      <c r="B82" s="255" t="s">
        <v>151</v>
      </c>
      <c r="C82" s="540">
        <f>'BS Input'!C44/'BS Input'!C$70</f>
        <v>0.0697931561695668</v>
      </c>
      <c r="D82" s="540">
        <f>'BS Input'!D44/'BS Input'!D$70</f>
        <v>0.064664695772728</v>
      </c>
      <c r="E82" s="540">
        <f>'BS Input'!E44/'BS Input'!E$70</f>
        <v>0.0529661598403711</v>
      </c>
      <c r="F82" s="540">
        <f>'BS Input'!F44/'BS Input'!F$70</f>
        <v>0.0773694864534673</v>
      </c>
      <c r="G82" s="540">
        <f>'BS Input'!G44/'BS Input'!G$70</f>
        <v>0.0849527557286803</v>
      </c>
    </row>
    <row r="83" ht="14.25" customHeight="1" spans="2:7">
      <c r="B83" s="553" t="s">
        <v>152</v>
      </c>
      <c r="C83" s="540">
        <f>'BS Input'!C45/'BS Input'!C$70</f>
        <v>0.252807598389687</v>
      </c>
      <c r="D83" s="540">
        <f>'BS Input'!D45/'BS Input'!D$70</f>
        <v>0.238325990992161</v>
      </c>
      <c r="E83" s="540">
        <f>'BS Input'!E45/'BS Input'!E$70</f>
        <v>0.237472527225323</v>
      </c>
      <c r="F83" s="540">
        <f>'BS Input'!F45/'BS Input'!F$70</f>
        <v>0.298366087280436</v>
      </c>
      <c r="G83" s="540">
        <f>'BS Input'!G45/'BS Input'!G$70</f>
        <v>0.354908688121161</v>
      </c>
    </row>
    <row r="84" ht="14.25" customHeight="1" spans="2:7">
      <c r="B84" s="251" t="s">
        <v>153</v>
      </c>
      <c r="C84" s="540"/>
      <c r="D84" s="540"/>
      <c r="E84" s="540"/>
      <c r="F84" s="540"/>
      <c r="G84" s="540"/>
    </row>
    <row r="85" ht="14.25" customHeight="1" spans="2:7">
      <c r="B85" s="251" t="s">
        <v>154</v>
      </c>
      <c r="C85" s="540"/>
      <c r="D85" s="540"/>
      <c r="E85" s="540"/>
      <c r="F85" s="540"/>
      <c r="G85" s="540"/>
    </row>
    <row r="86" ht="14.25" customHeight="1" spans="2:7">
      <c r="B86" s="255" t="s">
        <v>155</v>
      </c>
      <c r="C86" s="540">
        <f>'BS Input'!C48/'BS Input'!C$70</f>
        <v>0.312204390962888</v>
      </c>
      <c r="D86" s="540">
        <f>'BS Input'!D48/'BS Input'!D$70</f>
        <v>0.339358113100414</v>
      </c>
      <c r="E86" s="540">
        <f>'BS Input'!E48/'BS Input'!E$70</f>
        <v>0.294608474999494</v>
      </c>
      <c r="F86" s="540">
        <f>'BS Input'!F48/'BS Input'!F$70</f>
        <v>0.203872226555544</v>
      </c>
      <c r="G86" s="540">
        <f>'BS Input'!G48/'BS Input'!G$70</f>
        <v>0.181263442866053</v>
      </c>
    </row>
    <row r="87" ht="14.25" customHeight="1" spans="2:7">
      <c r="B87" s="255" t="s">
        <v>156</v>
      </c>
      <c r="C87" s="540">
        <f>'BS Input'!C49/'BS Input'!C$70</f>
        <v>0.0799002353872891</v>
      </c>
      <c r="D87" s="540">
        <f>'BS Input'!D49/'BS Input'!D$70</f>
        <v>0.113805915010349</v>
      </c>
      <c r="E87" s="540">
        <f>'BS Input'!E49/'BS Input'!E$70</f>
        <v>0.12131234941995</v>
      </c>
      <c r="F87" s="540">
        <f>'BS Input'!F49/'BS Input'!F$70</f>
        <v>0.10823169901882</v>
      </c>
      <c r="G87" s="540">
        <f>'BS Input'!G49/'BS Input'!G$70</f>
        <v>0.116815019643156</v>
      </c>
    </row>
    <row r="88" ht="14.25" customHeight="1" spans="2:7">
      <c r="B88" s="255" t="s">
        <v>157</v>
      </c>
      <c r="C88" s="540">
        <f>'BS Input'!C50/'BS Input'!C$70</f>
        <v>4.78474162395231e-5</v>
      </c>
      <c r="D88" s="540">
        <f>'BS Input'!D50/'BS Input'!D$70</f>
        <v>0.000788790443701901</v>
      </c>
      <c r="E88" s="540">
        <f>'BS Input'!E50/'BS Input'!E$70</f>
        <v>0.000650123388470095</v>
      </c>
      <c r="F88" s="540">
        <f>'BS Input'!F50/'BS Input'!F$70</f>
        <v>0</v>
      </c>
      <c r="G88" s="540">
        <f>'BS Input'!G50/'BS Input'!G$70</f>
        <v>0</v>
      </c>
    </row>
    <row r="89" ht="14.25" customHeight="1" spans="2:7">
      <c r="B89" s="255" t="s">
        <v>158</v>
      </c>
      <c r="C89" s="540">
        <f>'BS Input'!C51/'BS Input'!C$70</f>
        <v>0.0247805618496601</v>
      </c>
      <c r="D89" s="540">
        <f>'BS Input'!D51/'BS Input'!D$70</f>
        <v>0.0217876772259653</v>
      </c>
      <c r="E89" s="540">
        <f>'BS Input'!E51/'BS Input'!E$70</f>
        <v>0.0191293745543056</v>
      </c>
      <c r="F89" s="540">
        <f>'BS Input'!F51/'BS Input'!F$70</f>
        <v>0.00751263122122154</v>
      </c>
      <c r="G89" s="540">
        <f>'BS Input'!G51/'BS Input'!G$70</f>
        <v>0.00476680679726365</v>
      </c>
    </row>
    <row r="90" ht="14.25" customHeight="1" spans="2:7">
      <c r="B90" s="255" t="s">
        <v>159</v>
      </c>
      <c r="C90" s="540">
        <f>'BS Input'!C52/'BS Input'!C$70</f>
        <v>0.00832050069296258</v>
      </c>
      <c r="D90" s="540">
        <f>'BS Input'!D52/'BS Input'!D$70</f>
        <v>0.00691865271099417</v>
      </c>
      <c r="E90" s="540">
        <f>'BS Input'!E52/'BS Input'!E$70</f>
        <v>0.00767977936296906</v>
      </c>
      <c r="F90" s="540">
        <f>'BS Input'!F52/'BS Input'!F$70</f>
        <v>0.0068405343801739</v>
      </c>
      <c r="G90" s="540">
        <f>'BS Input'!G52/'BS Input'!G$70</f>
        <v>0.00727789252082218</v>
      </c>
    </row>
    <row r="91" ht="14.25" customHeight="1" spans="2:7">
      <c r="B91" s="255" t="s">
        <v>160</v>
      </c>
      <c r="C91" s="540">
        <f>'BS Input'!C53/'BS Input'!C$70</f>
        <v>0.00127565611456981</v>
      </c>
      <c r="D91" s="540">
        <f>'BS Input'!D53/'BS Input'!D$70</f>
        <v>0.00106216913565763</v>
      </c>
      <c r="E91" s="540">
        <f>'BS Input'!E53/'BS Input'!E$70</f>
        <v>0.00122443654098364</v>
      </c>
      <c r="F91" s="540">
        <f>'BS Input'!F53/'BS Input'!F$70</f>
        <v>0.00590947514622043</v>
      </c>
      <c r="G91" s="540">
        <f>'BS Input'!G53/'BS Input'!G$70</f>
        <v>0.00637306855580967</v>
      </c>
    </row>
    <row r="92" ht="14.25" customHeight="1" spans="2:7">
      <c r="B92" s="255" t="s">
        <v>161</v>
      </c>
      <c r="C92" s="540">
        <f>'BS Input'!C54/'BS Input'!C$70</f>
        <v>0.00673383637283587</v>
      </c>
      <c r="D92" s="540">
        <f>'BS Input'!D54/'BS Input'!D$70</f>
        <v>0.00464855725011038</v>
      </c>
      <c r="E92" s="540">
        <f>'BS Input'!E54/'BS Input'!E$70</f>
        <v>0.00565044957494528</v>
      </c>
      <c r="F92" s="540">
        <f>'BS Input'!F54/'BS Input'!F$70</f>
        <v>0.0181874421125732</v>
      </c>
      <c r="G92" s="540">
        <f>'BS Input'!G54/'BS Input'!G$70</f>
        <v>0.0122772441481651</v>
      </c>
    </row>
    <row r="93" ht="14.25" customHeight="1" spans="2:7">
      <c r="B93" s="554" t="s">
        <v>162</v>
      </c>
      <c r="C93" s="555">
        <f>'BS Input'!C55/'BS Input'!C$70</f>
        <v>0.000374804760542931</v>
      </c>
      <c r="D93" s="555">
        <f>'BS Input'!D55/'BS Input'!D$70</f>
        <v>0.000230390396414776</v>
      </c>
      <c r="E93" s="555">
        <f>'BS Input'!E55/'BS Input'!E$70</f>
        <v>0.000330685598979599</v>
      </c>
      <c r="F93" s="555">
        <f>'BS Input'!F55/'BS Input'!F$70</f>
        <v>0.000274904522198832</v>
      </c>
      <c r="G93" s="555">
        <f>'BS Input'!G55/'BS Input'!G$70</f>
        <v>0.000271121192078407</v>
      </c>
    </row>
    <row r="94" ht="14.25" customHeight="1" spans="2:7">
      <c r="B94" s="251" t="s">
        <v>163</v>
      </c>
      <c r="C94" s="556">
        <f>'BS Input'!C56/'BS Input'!C$70</f>
        <v>0.433637833556988</v>
      </c>
      <c r="D94" s="556">
        <f>'BS Input'!D56/'BS Input'!D$70</f>
        <v>0.488600265273607</v>
      </c>
      <c r="E94" s="556">
        <f>'BS Input'!E56/'BS Input'!E$70</f>
        <v>0.450585673440098</v>
      </c>
      <c r="F94" s="556">
        <f>'BS Input'!F56/'BS Input'!F$70</f>
        <v>0.350828912956752</v>
      </c>
      <c r="G94" s="556">
        <f>'BS Input'!G56/'BS Input'!G$70</f>
        <v>0.329044595723348</v>
      </c>
    </row>
    <row r="95" ht="14.25" customHeight="1" spans="2:7">
      <c r="B95" s="251" t="s">
        <v>164</v>
      </c>
      <c r="C95" s="540"/>
      <c r="D95" s="540"/>
      <c r="E95" s="540"/>
      <c r="F95" s="540"/>
      <c r="G95" s="540"/>
    </row>
    <row r="96" ht="14.25" customHeight="1" spans="2:7">
      <c r="B96" s="557" t="s">
        <v>154</v>
      </c>
      <c r="C96" s="540"/>
      <c r="D96" s="540"/>
      <c r="E96" s="540"/>
      <c r="F96" s="540"/>
      <c r="G96" s="540"/>
    </row>
    <row r="97" ht="14.25" customHeight="1" spans="2:7">
      <c r="B97" s="255" t="s">
        <v>155</v>
      </c>
      <c r="C97" s="540">
        <f>'BS Input'!C59/'BS Input'!C$70</f>
        <v>0.0532907472996458</v>
      </c>
      <c r="D97" s="540">
        <f>'BS Input'!D59/'BS Input'!D$70</f>
        <v>0.0312923445905947</v>
      </c>
      <c r="E97" s="540">
        <f>'BS Input'!E59/'BS Input'!E$70</f>
        <v>0.0471370950507389</v>
      </c>
      <c r="F97" s="540">
        <f>'BS Input'!F59/'BS Input'!F$70</f>
        <v>0.0844709273886559</v>
      </c>
      <c r="G97" s="540">
        <f>'BS Input'!G59/'BS Input'!G$70</f>
        <v>0.0390952412344726</v>
      </c>
    </row>
    <row r="98" ht="14.25" customHeight="1" spans="2:7">
      <c r="B98" s="255" t="s">
        <v>156</v>
      </c>
      <c r="C98" s="540">
        <f>'BS Input'!C60/'BS Input'!C$70</f>
        <v>0.0211936555426007</v>
      </c>
      <c r="D98" s="540">
        <f>'BS Input'!D60/'BS Input'!D$70</f>
        <v>0.0215971405618749</v>
      </c>
      <c r="E98" s="540">
        <f>'BS Input'!E60/'BS Input'!E$70</f>
        <v>0.0219303040732817</v>
      </c>
      <c r="F98" s="540">
        <f>'BS Input'!F60/'BS Input'!F$70</f>
        <v>0.0187800227233667</v>
      </c>
      <c r="G98" s="540">
        <f>'BS Input'!G60/'BS Input'!G$70</f>
        <v>0.0167358022687972</v>
      </c>
    </row>
    <row r="99" ht="14.25" customHeight="1" spans="2:7">
      <c r="B99" s="255" t="s">
        <v>157</v>
      </c>
      <c r="C99" s="540">
        <f>'BS Input'!C61/'BS Input'!C$70</f>
        <v>0.000273610225047847</v>
      </c>
      <c r="D99" s="540">
        <f>'BS Input'!D61/'BS Input'!D$70</f>
        <v>0.000250093365204378</v>
      </c>
      <c r="E99" s="540">
        <f>'BS Input'!E61/'BS Input'!E$70</f>
        <v>0.00274604020866936</v>
      </c>
      <c r="F99" s="540">
        <f>'BS Input'!F61/'BS Input'!F$70</f>
        <v>0.000373473541120195</v>
      </c>
      <c r="G99" s="540">
        <f>'BS Input'!G61/'BS Input'!G$70</f>
        <v>0.000347368367672936</v>
      </c>
    </row>
    <row r="100" ht="14.25" customHeight="1" spans="2:7">
      <c r="B100" s="255" t="s">
        <v>165</v>
      </c>
      <c r="C100" s="540">
        <f>'BS Input'!C62/'BS Input'!C$70</f>
        <v>0.0804994280308863</v>
      </c>
      <c r="D100" s="540">
        <f>'BS Input'!D62/'BS Input'!D$70</f>
        <v>0.0736501451302769</v>
      </c>
      <c r="E100" s="540">
        <f>'BS Input'!E62/'BS Input'!E$70</f>
        <v>0.0790327333751752</v>
      </c>
      <c r="F100" s="540">
        <f>'BS Input'!F62/'BS Input'!F$70</f>
        <v>0.0741769778544382</v>
      </c>
      <c r="G100" s="540">
        <f>'BS Input'!G62/'BS Input'!G$70</f>
        <v>0.0815268850076682</v>
      </c>
    </row>
    <row r="101" ht="14.25" customHeight="1" spans="2:7">
      <c r="B101" s="255" t="s">
        <v>158</v>
      </c>
      <c r="C101" s="540">
        <f>'BS Input'!C63/'BS Input'!C$70</f>
        <v>0.053461238093143</v>
      </c>
      <c r="D101" s="540">
        <f>'BS Input'!D63/'BS Input'!D$70</f>
        <v>0.0541721932001472</v>
      </c>
      <c r="E101" s="540">
        <f>'BS Input'!E63/'BS Input'!E$70</f>
        <v>0.0570164960373967</v>
      </c>
      <c r="F101" s="540">
        <f>'BS Input'!F63/'BS Input'!F$70</f>
        <v>0.0647452642155189</v>
      </c>
      <c r="G101" s="540">
        <f>'BS Input'!G63/'BS Input'!G$70</f>
        <v>0.0740121010244288</v>
      </c>
    </row>
    <row r="102" ht="14.25" customHeight="1" spans="2:7">
      <c r="B102" s="255" t="s">
        <v>159</v>
      </c>
      <c r="C102" s="540">
        <f>'BS Input'!C64/'BS Input'!C$70</f>
        <v>0.0208793475152342</v>
      </c>
      <c r="D102" s="540">
        <f>'BS Input'!D64/'BS Input'!D$70</f>
        <v>0.0190301571849115</v>
      </c>
      <c r="E102" s="540">
        <f>'BS Input'!E64/'BS Input'!E$70</f>
        <v>0.0196301270327604</v>
      </c>
      <c r="F102" s="540">
        <f>'BS Input'!F64/'BS Input'!F$70</f>
        <v>0.0190001018740945</v>
      </c>
      <c r="G102" s="540">
        <f>'BS Input'!G64/'BS Input'!G$70</f>
        <v>0.0198291556159576</v>
      </c>
    </row>
    <row r="103" ht="14.25" customHeight="1" spans="2:7">
      <c r="B103" s="255" t="s">
        <v>160</v>
      </c>
      <c r="C103" s="540">
        <f>'BS Input'!C65/'BS Input'!C$70</f>
        <v>0.0669448599775612</v>
      </c>
      <c r="D103" s="540">
        <f>'BS Input'!D65/'BS Input'!D$70</f>
        <v>0.0576070027933436</v>
      </c>
      <c r="E103" s="540">
        <f>'BS Input'!E65/'BS Input'!E$70</f>
        <v>0.0637260393538358</v>
      </c>
      <c r="F103" s="540">
        <f>'BS Input'!F65/'BS Input'!F$70</f>
        <v>0.0702915698797963</v>
      </c>
      <c r="G103" s="540">
        <f>'BS Input'!G65/'BS Input'!G$70</f>
        <v>0.064806114842373</v>
      </c>
    </row>
    <row r="104" ht="14.25" customHeight="1" spans="2:7">
      <c r="B104" s="255" t="s">
        <v>166</v>
      </c>
      <c r="C104" s="540">
        <f>'BS Input'!C66/'BS Input'!C$70</f>
        <v>0.00569906725036848</v>
      </c>
      <c r="D104" s="540">
        <f>'BS Input'!D66/'BS Input'!D$70</f>
        <v>0.00402388358053096</v>
      </c>
      <c r="E104" s="540">
        <f>'BS Input'!E66/'BS Input'!E$70</f>
        <v>0.00743052790469056</v>
      </c>
      <c r="F104" s="540">
        <f>'BS Input'!F66/'BS Input'!F$70</f>
        <v>0.00389512878518642</v>
      </c>
      <c r="G104" s="540">
        <f>'BS Input'!G66/'BS Input'!G$70</f>
        <v>0.00568684397545891</v>
      </c>
    </row>
    <row r="105" ht="14.25" customHeight="1" spans="2:7">
      <c r="B105" s="255" t="s">
        <v>167</v>
      </c>
      <c r="C105" s="540">
        <f>'BS Input'!C67/'BS Input'!C$70</f>
        <v>0.0113126141188376</v>
      </c>
      <c r="D105" s="540">
        <f>'BS Input'!D67/'BS Input'!D$70</f>
        <v>0.0114507833273478</v>
      </c>
      <c r="E105" s="540">
        <f>'BS Input'!E67/'BS Input'!E$70</f>
        <v>0.013292436298031</v>
      </c>
      <c r="F105" s="540">
        <f>'BS Input'!F67/'BS Input'!F$70</f>
        <v>0.015071533500635</v>
      </c>
      <c r="G105" s="540">
        <f>'BS Input'!G67/'BS Input'!G$70</f>
        <v>0.0140072038186614</v>
      </c>
    </row>
    <row r="106" ht="14.25" customHeight="1" spans="2:7">
      <c r="B106" s="558" t="s">
        <v>168</v>
      </c>
      <c r="C106" s="543">
        <f>'BS Input'!C68/'BS Input'!C$70</f>
        <v>0.313554568053325</v>
      </c>
      <c r="D106" s="543">
        <f>'BS Input'!D68/'BS Input'!D$70</f>
        <v>0.273073743734232</v>
      </c>
      <c r="E106" s="543">
        <f>'BS Input'!E68/'BS Input'!E$70</f>
        <v>0.31194179933458</v>
      </c>
      <c r="F106" s="543">
        <f>'BS Input'!F68/'BS Input'!F$70</f>
        <v>0.350804999762812</v>
      </c>
      <c r="G106" s="543">
        <f>'BS Input'!G68/'BS Input'!G$70</f>
        <v>0.316046716155491</v>
      </c>
    </row>
    <row r="107" ht="14.25" customHeight="1" spans="2:7">
      <c r="B107" s="251" t="s">
        <v>169</v>
      </c>
      <c r="C107" s="559">
        <f>'BS Input'!C69/'BS Input'!C$70</f>
        <v>0.747192401610313</v>
      </c>
      <c r="D107" s="559">
        <f>'BS Input'!D69/'BS Input'!D$70</f>
        <v>0.761674009007839</v>
      </c>
      <c r="E107" s="559">
        <f>'BS Input'!E69/'BS Input'!E$70</f>
        <v>0.762527472774677</v>
      </c>
      <c r="F107" s="559">
        <f>'BS Input'!F69/'BS Input'!F$70</f>
        <v>0.701633912719564</v>
      </c>
      <c r="G107" s="559">
        <f>'BS Input'!G69/'BS Input'!G$70</f>
        <v>0.645091311878839</v>
      </c>
    </row>
    <row r="108" ht="15" customHeight="1" spans="2:7">
      <c r="B108" s="560" t="s">
        <v>170</v>
      </c>
      <c r="C108" s="561">
        <f>'BS Input'!C70/'BS Input'!C$70</f>
        <v>1</v>
      </c>
      <c r="D108" s="561">
        <f>'BS Input'!D70/'BS Input'!D$70</f>
        <v>1</v>
      </c>
      <c r="E108" s="561">
        <f>'BS Input'!E70/'BS Input'!E$70</f>
        <v>1</v>
      </c>
      <c r="F108" s="561">
        <f>'BS Input'!F70/'BS Input'!F$70</f>
        <v>1</v>
      </c>
      <c r="G108" s="561">
        <f>'BS Input'!G70/'BS Input'!G$70</f>
        <v>1</v>
      </c>
    </row>
    <row r="109" ht="14.25" customHeight="1" spans="2:7">
      <c r="C109" s="125"/>
      <c r="D109" s="125"/>
      <c r="E109" s="125"/>
      <c r="F109" s="125"/>
      <c r="G109" s="125"/>
    </row>
  </sheetData>
  <mergeCells count="3">
    <mergeCell ref="B7:G7"/>
    <mergeCell ref="B8:B9"/>
    <mergeCell ref="A1:J4"/>
  </mergeCells>
  <pageMargins left="0.75" right="0.75" top="1" bottom="1" header="0.511811023622047" footer="0.511811023622047"/>
  <pageSetup paperSize="1"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Q76"/>
  <sheetViews>
    <sheetView showGridLines="0" zoomScale="81" zoomScaleNormal="81" workbookViewId="0">
      <pane xSplit="2" ySplit="8" topLeftCell="C36" activePane="bottomRight" state="frozen"/>
      <selection/>
      <selection pane="topRight"/>
      <selection pane="bottomLeft"/>
      <selection pane="bottomRight" activeCell="H59" sqref="H59"/>
    </sheetView>
  </sheetViews>
  <sheetFormatPr defaultColWidth="8.89814814814815" defaultRowHeight="14.4"/>
  <cols>
    <col min="1" max="1" width="2.44444444444444" style="1" customWidth="1"/>
    <col min="2" max="2" width="50.5555555555556" style="1" customWidth="1"/>
    <col min="3" max="3" width="14.3333333333333" style="1" customWidth="1"/>
    <col min="4" max="4" width="19.5555555555556" style="1" customWidth="1"/>
    <col min="5" max="5" width="18.6666666666667" style="1" customWidth="1"/>
    <col min="6" max="6" width="15.5555555555556" style="1" customWidth="1"/>
    <col min="7" max="7" width="15.4444444444444" style="1" customWidth="1"/>
    <col min="8" max="17" width="13.4444444444444"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5" ht="14.25" customHeight="1" spans="1:17">
      <c r="P5" s="471" t="s">
        <v>51</v>
      </c>
    </row>
    <row r="6" ht="15" customHeight="1" spans="1:17">
      <c r="B6" s="343" t="s">
        <v>253</v>
      </c>
      <c r="C6" s="343"/>
      <c r="D6" s="343"/>
      <c r="E6" s="343"/>
      <c r="F6" s="343"/>
      <c r="G6" s="343"/>
      <c r="H6" s="343"/>
      <c r="I6" s="343"/>
      <c r="J6" s="343"/>
      <c r="K6" s="343"/>
      <c r="L6" s="343"/>
      <c r="M6" s="343"/>
      <c r="N6" s="343"/>
      <c r="O6" s="343"/>
      <c r="P6" s="343"/>
      <c r="Q6" s="343"/>
    </row>
    <row r="7" ht="14.25" customHeight="1" spans="1:17">
      <c r="B7" s="344" t="s">
        <v>39</v>
      </c>
      <c r="C7" s="5">
        <f>FAS!C7</f>
        <v>2022</v>
      </c>
      <c r="D7" s="5">
        <f>FAS!D7</f>
        <v>2023</v>
      </c>
      <c r="E7" s="5">
        <f>FAS!E7</f>
        <v>2024</v>
      </c>
      <c r="F7" s="5">
        <f>FAS!F7</f>
        <v>2025</v>
      </c>
      <c r="G7" s="5">
        <f>FAS!G7</f>
        <v>2026</v>
      </c>
      <c r="H7" s="5">
        <f>FAS!H7</f>
        <v>2027</v>
      </c>
      <c r="I7" s="5">
        <f>FAS!I7</f>
        <v>2028</v>
      </c>
      <c r="J7" s="5">
        <f>FAS!J7</f>
        <v>2029</v>
      </c>
      <c r="K7" s="5">
        <f>FAS!K7</f>
        <v>2030</v>
      </c>
      <c r="L7" s="5">
        <f>FAS!L7</f>
        <v>2031</v>
      </c>
      <c r="M7" s="5">
        <f>FAS!M7</f>
        <v>2032</v>
      </c>
      <c r="N7" s="5">
        <f>FAS!N7</f>
        <v>2033</v>
      </c>
      <c r="O7" s="5">
        <f>FAS!O7</f>
        <v>2034</v>
      </c>
      <c r="P7" s="5">
        <f>FAS!P7</f>
        <v>2035</v>
      </c>
      <c r="Q7" s="5">
        <f>FAS!Q7</f>
        <v>2036</v>
      </c>
    </row>
    <row r="8" ht="14.25" customHeight="1" spans="1:17">
      <c r="B8" s="344"/>
      <c r="C8" s="6" t="s">
        <v>85</v>
      </c>
      <c r="D8" s="6" t="s">
        <v>85</v>
      </c>
      <c r="E8" s="6" t="s">
        <v>85</v>
      </c>
      <c r="F8" s="6" t="s">
        <v>85</v>
      </c>
      <c r="G8" s="6" t="s">
        <v>85</v>
      </c>
      <c r="H8" s="7" t="s">
        <v>254</v>
      </c>
      <c r="I8" s="7" t="s">
        <v>255</v>
      </c>
      <c r="J8" s="7" t="s">
        <v>255</v>
      </c>
      <c r="K8" s="7" t="s">
        <v>255</v>
      </c>
      <c r="L8" s="7" t="s">
        <v>255</v>
      </c>
      <c r="M8" s="7" t="s">
        <v>255</v>
      </c>
      <c r="N8" s="7" t="s">
        <v>255</v>
      </c>
      <c r="O8" s="7" t="s">
        <v>255</v>
      </c>
      <c r="P8" s="7" t="s">
        <v>255</v>
      </c>
      <c r="Q8" s="7" t="s">
        <v>255</v>
      </c>
    </row>
    <row r="9" ht="14.25" customHeight="1" spans="1:17">
      <c r="B9" s="355"/>
      <c r="C9" s="14"/>
      <c r="D9" s="14"/>
      <c r="E9" s="14"/>
      <c r="F9" s="14"/>
      <c r="G9" s="14"/>
      <c r="H9" s="9"/>
      <c r="I9" s="9"/>
      <c r="J9" s="9"/>
      <c r="K9" s="9"/>
      <c r="L9" s="9"/>
      <c r="M9" s="9"/>
      <c r="N9" s="9"/>
      <c r="O9" s="9"/>
      <c r="P9" s="9"/>
      <c r="Q9" s="9"/>
    </row>
    <row r="10" ht="14.25" customHeight="1" spans="1:17">
      <c r="B10" s="346" t="s">
        <v>256</v>
      </c>
      <c r="C10" s="472">
        <f t="shared" ref="C10:Q10" si="0">C76</f>
        <v>1165469</v>
      </c>
      <c r="D10" s="472">
        <f t="shared" si="0"/>
        <v>1391448</v>
      </c>
      <c r="E10" s="472">
        <f t="shared" si="0"/>
        <v>1499824</v>
      </c>
      <c r="F10" s="472">
        <f t="shared" si="0"/>
        <v>1729852</v>
      </c>
      <c r="G10" s="472">
        <f t="shared" si="0"/>
        <v>2109728</v>
      </c>
      <c r="H10" s="473">
        <f t="shared" si="0"/>
        <v>2507801.55009179</v>
      </c>
      <c r="I10" s="473">
        <f t="shared" si="0"/>
        <v>2823455.74833933</v>
      </c>
      <c r="J10" s="473">
        <f t="shared" si="0"/>
        <v>3149592.42690011</v>
      </c>
      <c r="K10" s="473">
        <f t="shared" si="0"/>
        <v>3480808.77857503</v>
      </c>
      <c r="L10" s="473">
        <f t="shared" si="0"/>
        <v>3810895.95190707</v>
      </c>
      <c r="M10" s="473">
        <f t="shared" si="0"/>
        <v>4133004.53591871</v>
      </c>
      <c r="N10" s="473">
        <f t="shared" si="0"/>
        <v>4439863.6242103</v>
      </c>
      <c r="O10" s="473">
        <f t="shared" si="0"/>
        <v>4724045.5172946</v>
      </c>
      <c r="P10" s="473">
        <f t="shared" si="0"/>
        <v>4978263.68321759</v>
      </c>
      <c r="Q10" s="473">
        <f t="shared" si="0"/>
        <v>5195687.73394927</v>
      </c>
    </row>
    <row r="11" ht="14.25" customHeight="1" spans="1:17">
      <c r="B11" s="346" t="s">
        <v>257</v>
      </c>
      <c r="C11" s="474">
        <v>5343</v>
      </c>
      <c r="D11" s="474">
        <v>9366</v>
      </c>
      <c r="E11" s="474">
        <v>14354</v>
      </c>
      <c r="F11" s="474">
        <v>15737</v>
      </c>
      <c r="G11" s="474">
        <v>28173</v>
      </c>
      <c r="H11" s="475">
        <f t="shared" ref="H11:Q11" si="1">H12*H10</f>
        <v>33488.8161273567</v>
      </c>
      <c r="I11" s="475">
        <f t="shared" si="1"/>
        <v>37704.0162513669</v>
      </c>
      <c r="J11" s="475">
        <f t="shared" si="1"/>
        <v>42059.1978885699</v>
      </c>
      <c r="K11" s="475">
        <f t="shared" si="1"/>
        <v>46482.2127396491</v>
      </c>
      <c r="L11" s="475">
        <f t="shared" si="1"/>
        <v>50890.1487078324</v>
      </c>
      <c r="M11" s="475">
        <f t="shared" si="1"/>
        <v>55191.5397579393</v>
      </c>
      <c r="N11" s="475">
        <f t="shared" si="1"/>
        <v>59289.2912663987</v>
      </c>
      <c r="O11" s="475">
        <f t="shared" si="1"/>
        <v>63084.2148176167</v>
      </c>
      <c r="P11" s="475">
        <f t="shared" si="1"/>
        <v>66479.0071266481</v>
      </c>
      <c r="Q11" s="475">
        <f t="shared" si="1"/>
        <v>69382.4561879791</v>
      </c>
    </row>
    <row r="12" ht="14.25" customHeight="1" spans="1:17">
      <c r="B12" s="367" t="s">
        <v>258</v>
      </c>
      <c r="C12" s="476">
        <f>C11/C10</f>
        <v>0.00458442052083753</v>
      </c>
      <c r="D12" s="476">
        <f>D11/D10</f>
        <v>0.00673111751211687</v>
      </c>
      <c r="E12" s="476">
        <f>E11/E10</f>
        <v>0.00957045626686865</v>
      </c>
      <c r="F12" s="476">
        <f>F11/F10</f>
        <v>0.00909731005889521</v>
      </c>
      <c r="G12" s="476">
        <f>G11/G10</f>
        <v>0.0133538541461269</v>
      </c>
      <c r="H12" s="477">
        <f t="shared" ref="H12:Q12" si="2">G12</f>
        <v>0.0133538541461269</v>
      </c>
      <c r="I12" s="477">
        <f t="shared" si="2"/>
        <v>0.0133538541461269</v>
      </c>
      <c r="J12" s="477">
        <f t="shared" si="2"/>
        <v>0.0133538541461269</v>
      </c>
      <c r="K12" s="477">
        <f t="shared" si="2"/>
        <v>0.0133538541461269</v>
      </c>
      <c r="L12" s="477">
        <f t="shared" si="2"/>
        <v>0.0133538541461269</v>
      </c>
      <c r="M12" s="477">
        <f t="shared" si="2"/>
        <v>0.0133538541461269</v>
      </c>
      <c r="N12" s="477">
        <f t="shared" si="2"/>
        <v>0.0133538541461269</v>
      </c>
      <c r="O12" s="477">
        <f t="shared" si="2"/>
        <v>0.0133538541461269</v>
      </c>
      <c r="P12" s="477">
        <f t="shared" si="2"/>
        <v>0.0133538541461269</v>
      </c>
      <c r="Q12" s="477">
        <f t="shared" si="2"/>
        <v>0.0133538541461269</v>
      </c>
    </row>
    <row r="13" ht="14.25" customHeight="1" spans="1:17">
      <c r="B13" s="367"/>
      <c r="C13" s="478"/>
      <c r="D13" s="478"/>
      <c r="E13" s="478"/>
      <c r="F13" s="479"/>
      <c r="G13" s="479"/>
      <c r="H13" s="416"/>
      <c r="I13" s="416"/>
      <c r="J13" s="416"/>
      <c r="K13" s="416"/>
      <c r="L13" s="416"/>
      <c r="M13" s="416"/>
      <c r="N13" s="416"/>
      <c r="O13" s="416"/>
      <c r="P13" s="416"/>
      <c r="Q13" s="416"/>
    </row>
    <row r="14" ht="14.25" customHeight="1" spans="1:17">
      <c r="B14" s="355" t="s">
        <v>259</v>
      </c>
      <c r="C14" s="480">
        <f t="shared" ref="C14:Q14" si="3">C10+C11</f>
        <v>1170812</v>
      </c>
      <c r="D14" s="480">
        <f t="shared" si="3"/>
        <v>1400814</v>
      </c>
      <c r="E14" s="480">
        <f t="shared" si="3"/>
        <v>1514178</v>
      </c>
      <c r="F14" s="480">
        <f t="shared" si="3"/>
        <v>1745589</v>
      </c>
      <c r="G14" s="480">
        <f t="shared" si="3"/>
        <v>2137901</v>
      </c>
      <c r="H14" s="481">
        <f t="shared" si="3"/>
        <v>2541290.36621915</v>
      </c>
      <c r="I14" s="481">
        <f t="shared" si="3"/>
        <v>2861159.7645907</v>
      </c>
      <c r="J14" s="481">
        <f t="shared" si="3"/>
        <v>3191651.62478868</v>
      </c>
      <c r="K14" s="481">
        <f t="shared" si="3"/>
        <v>3527290.99131468</v>
      </c>
      <c r="L14" s="481">
        <f t="shared" si="3"/>
        <v>3861786.1006149</v>
      </c>
      <c r="M14" s="481">
        <f t="shared" si="3"/>
        <v>4188196.07567665</v>
      </c>
      <c r="N14" s="481">
        <f t="shared" si="3"/>
        <v>4499152.9154767</v>
      </c>
      <c r="O14" s="481">
        <f t="shared" si="3"/>
        <v>4787129.73211222</v>
      </c>
      <c r="P14" s="481">
        <f t="shared" si="3"/>
        <v>5044742.69034423</v>
      </c>
      <c r="Q14" s="481">
        <f t="shared" si="3"/>
        <v>5265070.19013725</v>
      </c>
    </row>
    <row r="15" ht="14.25" customHeight="1" spans="1:17">
      <c r="B15" s="482" t="s">
        <v>260</v>
      </c>
      <c r="C15" s="483"/>
      <c r="D15" s="484">
        <f t="shared" ref="D15:Q15" si="4">D14/C14-1</f>
        <v>0.196446568706163</v>
      </c>
      <c r="E15" s="484">
        <f t="shared" si="4"/>
        <v>0.0809272323092145</v>
      </c>
      <c r="F15" s="484">
        <f t="shared" si="4"/>
        <v>0.152829455982058</v>
      </c>
      <c r="G15" s="484">
        <f t="shared" si="4"/>
        <v>0.224744770962695</v>
      </c>
      <c r="H15" s="485">
        <f t="shared" si="4"/>
        <v>0.188684773625696</v>
      </c>
      <c r="I15" s="485">
        <f t="shared" si="4"/>
        <v>0.125868890317889</v>
      </c>
      <c r="J15" s="485">
        <f t="shared" si="4"/>
        <v>0.115509753872574</v>
      </c>
      <c r="K15" s="485">
        <f t="shared" si="4"/>
        <v>0.105161654837008</v>
      </c>
      <c r="L15" s="485">
        <f t="shared" si="4"/>
        <v>0.0948305966601157</v>
      </c>
      <c r="M15" s="485">
        <f t="shared" si="4"/>
        <v>0.0845230591641954</v>
      </c>
      <c r="N15" s="485">
        <f t="shared" si="4"/>
        <v>0.0742460081097835</v>
      </c>
      <c r="O15" s="485">
        <f t="shared" si="4"/>
        <v>0.0640068968638303</v>
      </c>
      <c r="P15" s="485">
        <f t="shared" si="4"/>
        <v>0.0538136571699614</v>
      </c>
      <c r="Q15" s="485">
        <f t="shared" si="4"/>
        <v>0.0436746754625816</v>
      </c>
    </row>
    <row r="16" ht="14.25" customHeight="1" spans="1:17">
      <c r="B16" s="346"/>
      <c r="C16" s="478"/>
      <c r="D16" s="478"/>
      <c r="E16" s="478"/>
      <c r="F16" s="479"/>
      <c r="G16" s="479"/>
      <c r="H16" s="416"/>
      <c r="I16" s="416"/>
      <c r="J16" s="416"/>
      <c r="K16" s="416"/>
      <c r="L16" s="416"/>
      <c r="M16" s="416"/>
      <c r="N16" s="416"/>
      <c r="O16" s="416"/>
      <c r="P16" s="416"/>
      <c r="Q16" s="416"/>
    </row>
    <row r="17" ht="14.25" customHeight="1" spans="2:17">
      <c r="B17" s="346" t="s">
        <v>101</v>
      </c>
      <c r="C17" s="474">
        <f>'P&amp;L Input'!C33</f>
        <v>-24232</v>
      </c>
      <c r="D17" s="474">
        <f>'P&amp;L Input'!D33</f>
        <v>-7521</v>
      </c>
      <c r="E17" s="474">
        <f>'P&amp;L Input'!E33</f>
        <v>-27094</v>
      </c>
      <c r="F17" s="474">
        <f>'P&amp;L Input'!F33</f>
        <v>-37030</v>
      </c>
      <c r="G17" s="474">
        <f>'P&amp;L Input'!G33</f>
        <v>-3645</v>
      </c>
      <c r="H17" s="12">
        <f t="shared" ref="H17:Q17" si="5">H10*H18</f>
        <v>-33803.0298506877</v>
      </c>
      <c r="I17" s="12">
        <f t="shared" si="5"/>
        <v>-38057.7797073762</v>
      </c>
      <c r="J17" s="12">
        <f t="shared" si="5"/>
        <v>-42453.8244743119</v>
      </c>
      <c r="K17" s="12">
        <f t="shared" si="5"/>
        <v>-46918.3389101904</v>
      </c>
      <c r="L17" s="12">
        <f t="shared" si="5"/>
        <v>-51367.6329833453</v>
      </c>
      <c r="M17" s="12">
        <f t="shared" si="5"/>
        <v>-55709.3824651213</v>
      </c>
      <c r="N17" s="12">
        <f t="shared" si="5"/>
        <v>-59845.5817274177</v>
      </c>
      <c r="O17" s="12">
        <f t="shared" si="5"/>
        <v>-63676.1117048005</v>
      </c>
      <c r="P17" s="12">
        <f t="shared" si="5"/>
        <v>-67102.7561499988</v>
      </c>
      <c r="Q17" s="12">
        <f t="shared" si="5"/>
        <v>-70033.4472474947</v>
      </c>
    </row>
    <row r="18" ht="14.25" customHeight="1" spans="2:17">
      <c r="B18" s="346"/>
      <c r="C18" s="486">
        <f>C17/C10</f>
        <v>-0.0207916298073994</v>
      </c>
      <c r="D18" s="486">
        <f>D17/D10</f>
        <v>-0.00540516066716112</v>
      </c>
      <c r="E18" s="486">
        <f>E17/E10</f>
        <v>-0.0180647862682555</v>
      </c>
      <c r="F18" s="486">
        <f>F17/F10</f>
        <v>-0.0214064555811711</v>
      </c>
      <c r="G18" s="486">
        <f>G17/G10</f>
        <v>-0.00172771087078524</v>
      </c>
      <c r="H18" s="487">
        <f>AVERAGE(C18:G18)</f>
        <v>-0.0134791486389545</v>
      </c>
      <c r="I18" s="487">
        <f t="shared" ref="I18:Q18" si="6">H18</f>
        <v>-0.0134791486389545</v>
      </c>
      <c r="J18" s="487">
        <f t="shared" si="6"/>
        <v>-0.0134791486389545</v>
      </c>
      <c r="K18" s="487">
        <f t="shared" si="6"/>
        <v>-0.0134791486389545</v>
      </c>
      <c r="L18" s="487">
        <f t="shared" si="6"/>
        <v>-0.0134791486389545</v>
      </c>
      <c r="M18" s="487">
        <f t="shared" si="6"/>
        <v>-0.0134791486389545</v>
      </c>
      <c r="N18" s="487">
        <f t="shared" si="6"/>
        <v>-0.0134791486389545</v>
      </c>
      <c r="O18" s="487">
        <f t="shared" si="6"/>
        <v>-0.0134791486389545</v>
      </c>
      <c r="P18" s="487">
        <f t="shared" si="6"/>
        <v>-0.0134791486389545</v>
      </c>
      <c r="Q18" s="487">
        <f t="shared" si="6"/>
        <v>-0.0134791486389545</v>
      </c>
    </row>
    <row r="19" ht="14.25" customHeight="1" spans="2:17">
      <c r="B19" s="346"/>
      <c r="C19" s="478"/>
      <c r="D19" s="478"/>
      <c r="E19" s="478"/>
      <c r="F19" s="479"/>
      <c r="G19" s="479"/>
      <c r="H19" s="416"/>
      <c r="I19" s="416"/>
      <c r="J19" s="416"/>
      <c r="K19" s="416"/>
      <c r="L19" s="416"/>
      <c r="M19" s="416"/>
      <c r="N19" s="416"/>
      <c r="O19" s="416"/>
      <c r="P19" s="416"/>
      <c r="Q19" s="416"/>
    </row>
    <row r="20" ht="14.25" customHeight="1" spans="2:17">
      <c r="B20" s="57" t="str">
        <f>'P&amp;L Input'!B37</f>
        <v>Exceptional items</v>
      </c>
      <c r="C20" s="488">
        <f>'P&amp;L Input'!C37</f>
        <v>-16986</v>
      </c>
      <c r="D20" s="489">
        <f>'P&amp;L Input'!D37</f>
        <v>6698</v>
      </c>
      <c r="E20" s="489">
        <f>'P&amp;L Input'!E37</f>
        <v>75723</v>
      </c>
      <c r="F20" s="489">
        <f>'P&amp;L Input'!F37</f>
        <v>-72868</v>
      </c>
      <c r="G20" s="489">
        <f>'P&amp;L Input'!G37</f>
        <v>34175</v>
      </c>
      <c r="H20" s="13">
        <f t="shared" ref="H20:Q20" si="7">H10*H21</f>
        <v>7424.17593578602</v>
      </c>
      <c r="I20" s="13">
        <f t="shared" si="7"/>
        <v>18260.4076381286</v>
      </c>
      <c r="J20" s="13">
        <f t="shared" si="7"/>
        <v>21411.3627757086</v>
      </c>
      <c r="K20" s="13">
        <f t="shared" si="7"/>
        <v>-6752.14121502982</v>
      </c>
      <c r="L20" s="13">
        <f t="shared" si="7"/>
        <v>23234.9694038399</v>
      </c>
      <c r="M20" s="13">
        <f t="shared" si="7"/>
        <v>16848.7136046804</v>
      </c>
      <c r="N20" s="13">
        <f t="shared" si="7"/>
        <v>19090.8131362431</v>
      </c>
      <c r="O20" s="13">
        <f t="shared" si="7"/>
        <v>18264.8531860003</v>
      </c>
      <c r="P20" s="13">
        <f t="shared" si="7"/>
        <v>16328.7177515088</v>
      </c>
      <c r="Q20" s="13">
        <f t="shared" si="7"/>
        <v>22465.9824569598</v>
      </c>
    </row>
    <row r="21" ht="14.25" customHeight="1" spans="2:17">
      <c r="B21" s="346"/>
      <c r="C21" s="490">
        <f>C20/C10</f>
        <v>-0.0145743902240214</v>
      </c>
      <c r="D21" s="483">
        <f>D20/D10</f>
        <v>0.00481369048645727</v>
      </c>
      <c r="E21" s="490">
        <f>E20/E10</f>
        <v>0.0504879239164062</v>
      </c>
      <c r="F21" s="490">
        <f>F20/F10</f>
        <v>-0.0421238348714225</v>
      </c>
      <c r="G21" s="490">
        <f>G20/G10</f>
        <v>0.0161987706472114</v>
      </c>
      <c r="H21" s="491">
        <f t="shared" ref="H21:Q21" si="8">AVERAGE(C21:G21)</f>
        <v>0.00296043199092619</v>
      </c>
      <c r="I21" s="487">
        <f t="shared" si="8"/>
        <v>0.0064673964339157</v>
      </c>
      <c r="J21" s="487">
        <f t="shared" si="8"/>
        <v>0.00679813762340739</v>
      </c>
      <c r="K21" s="487">
        <f t="shared" si="8"/>
        <v>-0.00193981963519237</v>
      </c>
      <c r="L21" s="487">
        <f t="shared" si="8"/>
        <v>0.00609698341205366</v>
      </c>
      <c r="M21" s="487">
        <f t="shared" si="8"/>
        <v>0.00407662596502211</v>
      </c>
      <c r="N21" s="487">
        <f t="shared" si="8"/>
        <v>0.0042998647598413</v>
      </c>
      <c r="O21" s="487">
        <f t="shared" si="8"/>
        <v>0.00386635842502642</v>
      </c>
      <c r="P21" s="487">
        <f t="shared" si="8"/>
        <v>0.00328000258535022</v>
      </c>
      <c r="Q21" s="487">
        <f t="shared" si="8"/>
        <v>0.00432396702945874</v>
      </c>
    </row>
    <row r="22" ht="14.25" customHeight="1" spans="2:17">
      <c r="C22" s="492"/>
    </row>
    <row r="23" ht="14.25" customHeight="1" spans="2:17">
      <c r="C23" s="492"/>
    </row>
    <row r="24" ht="14.25" customHeight="1" spans="2:17">
      <c r="C24" s="492"/>
    </row>
    <row r="25" ht="23.25" customHeight="1" spans="2:17">
      <c r="B25" s="493" t="s">
        <v>261</v>
      </c>
      <c r="C25" s="494">
        <v>2022</v>
      </c>
      <c r="D25" s="495">
        <f t="shared" ref="D25:Q25" si="9">C25+1</f>
        <v>2023</v>
      </c>
      <c r="E25" s="495">
        <f t="shared" si="9"/>
        <v>2024</v>
      </c>
      <c r="F25" s="495">
        <f t="shared" si="9"/>
        <v>2025</v>
      </c>
      <c r="G25" s="495">
        <f t="shared" si="9"/>
        <v>2026</v>
      </c>
      <c r="H25" s="496">
        <f t="shared" si="9"/>
        <v>2027</v>
      </c>
      <c r="I25" s="496">
        <f t="shared" si="9"/>
        <v>2028</v>
      </c>
      <c r="J25" s="496">
        <f t="shared" si="9"/>
        <v>2029</v>
      </c>
      <c r="K25" s="496">
        <f t="shared" si="9"/>
        <v>2030</v>
      </c>
      <c r="L25" s="496">
        <f t="shared" si="9"/>
        <v>2031</v>
      </c>
      <c r="M25" s="496">
        <f t="shared" si="9"/>
        <v>2032</v>
      </c>
      <c r="N25" s="496">
        <f t="shared" si="9"/>
        <v>2033</v>
      </c>
      <c r="O25" s="496">
        <f t="shared" si="9"/>
        <v>2034</v>
      </c>
      <c r="P25" s="496">
        <f t="shared" si="9"/>
        <v>2035</v>
      </c>
      <c r="Q25" s="496">
        <f t="shared" si="9"/>
        <v>2036</v>
      </c>
    </row>
    <row r="26" ht="15" customHeight="1" spans="2:17">
      <c r="B26" s="497" t="s">
        <v>262</v>
      </c>
      <c r="C26" s="498">
        <v>629149</v>
      </c>
      <c r="D26" s="499">
        <v>759246</v>
      </c>
      <c r="E26" s="499">
        <v>850488</v>
      </c>
      <c r="F26" s="499">
        <v>1002500</v>
      </c>
      <c r="G26" s="499">
        <v>1129954</v>
      </c>
      <c r="H26" s="500">
        <f t="shared" ref="H26:Q26" si="10">G26*(1+H27)</f>
        <v>1308720.68211383</v>
      </c>
      <c r="I26" s="500">
        <f t="shared" si="10"/>
        <v>1500064.86437221</v>
      </c>
      <c r="J26" s="500">
        <f t="shared" si="10"/>
        <v>1701384.1355188</v>
      </c>
      <c r="K26" s="500">
        <f t="shared" si="10"/>
        <v>1909305.26130536</v>
      </c>
      <c r="L26" s="500">
        <f t="shared" si="10"/>
        <v>2119724.15010866</v>
      </c>
      <c r="M26" s="500">
        <f t="shared" si="10"/>
        <v>2327895.99283214</v>
      </c>
      <c r="N26" s="500">
        <f t="shared" si="10"/>
        <v>2528577.0249444</v>
      </c>
      <c r="O26" s="500">
        <f t="shared" si="10"/>
        <v>2716215.251308</v>
      </c>
      <c r="P26" s="500">
        <f t="shared" si="10"/>
        <v>2885182.97276212</v>
      </c>
      <c r="Q26" s="500">
        <f t="shared" si="10"/>
        <v>3030039.48101388</v>
      </c>
    </row>
    <row r="27" ht="14.25" customHeight="1" spans="2:17">
      <c r="B27" s="501"/>
      <c r="C27" s="502"/>
      <c r="D27" s="503">
        <f>IFERROR(D26/C26-1,"")</f>
        <v>0.20678249508463</v>
      </c>
      <c r="E27" s="503">
        <f>IFERROR(E26/D26-1,"")</f>
        <v>0.12017448890083</v>
      </c>
      <c r="F27" s="503">
        <f>IFERROR(F26/E26-1,"")</f>
        <v>0.178735032122734</v>
      </c>
      <c r="G27" s="503">
        <f>IFERROR(G26/F26-1,"")</f>
        <v>0.127136159600997</v>
      </c>
      <c r="H27" s="504">
        <f>CHOOSE(Assumptions!$D$18,H28,H29,H30)</f>
        <v>0.158207043927298</v>
      </c>
      <c r="I27" s="504">
        <f>CHOOSE(Assumptions!$D$18,I28,I29,I30)</f>
        <v>0.146207043927298</v>
      </c>
      <c r="J27" s="504">
        <f>CHOOSE(Assumptions!$D$18,J28,J29,J30)</f>
        <v>0.134207043927298</v>
      </c>
      <c r="K27" s="504">
        <f>CHOOSE(Assumptions!$D$18,K28,K29,K30)</f>
        <v>0.122207043927298</v>
      </c>
      <c r="L27" s="504">
        <f>CHOOSE(Assumptions!$D$18,L28,L29,L30)</f>
        <v>0.110207043927298</v>
      </c>
      <c r="M27" s="504">
        <f>CHOOSE(Assumptions!$D$18,M28,M29,M30)</f>
        <v>0.0982070439272981</v>
      </c>
      <c r="N27" s="504">
        <f>CHOOSE(Assumptions!$D$18,N28,N29,N30)</f>
        <v>0.0862070439272981</v>
      </c>
      <c r="O27" s="504">
        <f>CHOOSE(Assumptions!$D$18,O28,O29,O30)</f>
        <v>0.0742070439272981</v>
      </c>
      <c r="P27" s="504">
        <f>CHOOSE(Assumptions!$D$18,P28,P29,P30)</f>
        <v>0.0622070439272981</v>
      </c>
      <c r="Q27" s="504">
        <f>CHOOSE(Assumptions!$D$18,Q28,Q29,Q30)</f>
        <v>0.0502070439272981</v>
      </c>
    </row>
    <row r="28" ht="14.25" customHeight="1" spans="2:17">
      <c r="B28" s="501"/>
      <c r="C28" s="264"/>
      <c r="H28" s="505">
        <f t="shared" ref="H28:Q28" si="11">H29+0.05</f>
        <v>0.208207043927298</v>
      </c>
      <c r="I28" s="505">
        <f t="shared" si="11"/>
        <v>0.196207043927298</v>
      </c>
      <c r="J28" s="505">
        <f t="shared" si="11"/>
        <v>0.184207043927298</v>
      </c>
      <c r="K28" s="505">
        <f t="shared" si="11"/>
        <v>0.172207043927298</v>
      </c>
      <c r="L28" s="505">
        <f t="shared" si="11"/>
        <v>0.160207043927298</v>
      </c>
      <c r="M28" s="505">
        <f t="shared" si="11"/>
        <v>0.148207043927298</v>
      </c>
      <c r="N28" s="505">
        <f t="shared" si="11"/>
        <v>0.136207043927298</v>
      </c>
      <c r="O28" s="505">
        <f t="shared" si="11"/>
        <v>0.124207043927298</v>
      </c>
      <c r="P28" s="505">
        <f t="shared" si="11"/>
        <v>0.112207043927298</v>
      </c>
      <c r="Q28" s="505">
        <f t="shared" si="11"/>
        <v>0.100207043927298</v>
      </c>
    </row>
    <row r="29" ht="14.25" customHeight="1" spans="2:17">
      <c r="B29" s="501"/>
      <c r="C29" s="264"/>
      <c r="H29" s="505">
        <f>AVERAGE(D27:G27)</f>
        <v>0.158207043927298</v>
      </c>
      <c r="I29" s="505">
        <f t="shared" ref="I29:Q29" si="12">H29-0.012</f>
        <v>0.146207043927298</v>
      </c>
      <c r="J29" s="505">
        <f t="shared" si="12"/>
        <v>0.134207043927298</v>
      </c>
      <c r="K29" s="505">
        <f t="shared" si="12"/>
        <v>0.122207043927298</v>
      </c>
      <c r="L29" s="505">
        <f t="shared" si="12"/>
        <v>0.110207043927298</v>
      </c>
      <c r="M29" s="505">
        <f t="shared" si="12"/>
        <v>0.0982070439272981</v>
      </c>
      <c r="N29" s="505">
        <f t="shared" si="12"/>
        <v>0.0862070439272981</v>
      </c>
      <c r="O29" s="505">
        <f t="shared" si="12"/>
        <v>0.0742070439272981</v>
      </c>
      <c r="P29" s="505">
        <f t="shared" si="12"/>
        <v>0.0622070439272981</v>
      </c>
      <c r="Q29" s="505">
        <f t="shared" si="12"/>
        <v>0.0502070439272981</v>
      </c>
    </row>
    <row r="30" ht="14.25" customHeight="1" spans="2:17">
      <c r="B30" s="501"/>
      <c r="C30" s="264"/>
      <c r="H30" s="505">
        <f t="shared" ref="H30:Q30" si="13">H29-0.05</f>
        <v>0.108207043927298</v>
      </c>
      <c r="I30" s="505">
        <f t="shared" si="13"/>
        <v>0.0962070439272981</v>
      </c>
      <c r="J30" s="505">
        <f t="shared" si="13"/>
        <v>0.0842070439272981</v>
      </c>
      <c r="K30" s="505">
        <f t="shared" si="13"/>
        <v>0.0722070439272981</v>
      </c>
      <c r="L30" s="505">
        <f t="shared" si="13"/>
        <v>0.0602070439272981</v>
      </c>
      <c r="M30" s="505">
        <f t="shared" si="13"/>
        <v>0.0482070439272981</v>
      </c>
      <c r="N30" s="505">
        <f t="shared" si="13"/>
        <v>0.0362070439272981</v>
      </c>
      <c r="O30" s="505">
        <f t="shared" si="13"/>
        <v>0.0242070439272981</v>
      </c>
      <c r="P30" s="505">
        <f t="shared" si="13"/>
        <v>0.0122070439272981</v>
      </c>
      <c r="Q30" s="505">
        <f t="shared" si="13"/>
        <v>0.000207043927298117</v>
      </c>
    </row>
    <row r="31" ht="14.25" customHeight="1" spans="2:17">
      <c r="B31" s="125"/>
      <c r="C31" s="264"/>
      <c r="D31" s="125"/>
      <c r="E31" s="125"/>
      <c r="F31" s="125"/>
      <c r="G31" s="125"/>
      <c r="H31" s="506"/>
      <c r="I31" s="506"/>
      <c r="J31" s="506"/>
      <c r="K31" s="506"/>
      <c r="L31" s="506"/>
      <c r="M31" s="506"/>
      <c r="N31" s="506"/>
      <c r="O31" s="506"/>
      <c r="P31" s="506"/>
      <c r="Q31" s="506"/>
    </row>
    <row r="32" ht="14.25" customHeight="1" spans="2:17">
      <c r="B32" s="497" t="s">
        <v>263</v>
      </c>
      <c r="C32" s="498">
        <v>350612</v>
      </c>
      <c r="D32" s="499">
        <v>422664</v>
      </c>
      <c r="E32" s="499">
        <v>411841</v>
      </c>
      <c r="F32" s="499">
        <v>418795</v>
      </c>
      <c r="G32" s="499">
        <v>568064</v>
      </c>
      <c r="H32" s="500">
        <f t="shared" ref="H32:Q32" si="14">G32*(1+H33)</f>
        <v>646628.249495654</v>
      </c>
      <c r="I32" s="500">
        <f t="shared" si="14"/>
        <v>728298.533768652</v>
      </c>
      <c r="J32" s="500">
        <f t="shared" si="14"/>
        <v>811544.336064586</v>
      </c>
      <c r="K32" s="500">
        <f t="shared" si="14"/>
        <v>894566.747823409</v>
      </c>
      <c r="L32" s="500">
        <f t="shared" si="14"/>
        <v>975347.697231939</v>
      </c>
      <c r="M32" s="500">
        <f t="shared" si="14"/>
        <v>1051719.13596687</v>
      </c>
      <c r="N32" s="500">
        <f t="shared" si="14"/>
        <v>1121449.96293562</v>
      </c>
      <c r="O32" s="500">
        <f t="shared" si="14"/>
        <v>1182346.66671966</v>
      </c>
      <c r="P32" s="500">
        <f t="shared" si="14"/>
        <v>1232362.00853627</v>
      </c>
      <c r="Q32" s="500">
        <f t="shared" si="14"/>
        <v>1269704.74310448</v>
      </c>
    </row>
    <row r="33" ht="14.25" customHeight="1" spans="2:17">
      <c r="B33" s="501"/>
      <c r="C33" s="507"/>
      <c r="D33" s="503">
        <f>IFERROR(D32/C32-1,"")</f>
        <v>0.205503519560084</v>
      </c>
      <c r="E33" s="503">
        <f>IFERROR(E32/D32-1,"")</f>
        <v>-0.025606628432987</v>
      </c>
      <c r="F33" s="503">
        <f>IFERROR(F32/E32-1,"")</f>
        <v>0.016885157135885</v>
      </c>
      <c r="G33" s="503">
        <f>IFERROR(G32/F32-1,"")</f>
        <v>0.35642498119605</v>
      </c>
      <c r="H33" s="504">
        <f>CHOOSE(Assumptions!$D$18,H34,H35,H36)</f>
        <v>0.138301757364758</v>
      </c>
      <c r="I33" s="504">
        <f>CHOOSE(Assumptions!$D$18,I34,I35,I36)</f>
        <v>0.126301757364758</v>
      </c>
      <c r="J33" s="504">
        <f>CHOOSE(Assumptions!$D$18,J34,J35,J36)</f>
        <v>0.114301757364758</v>
      </c>
      <c r="K33" s="504">
        <f>CHOOSE(Assumptions!$D$18,K34,K35,K36)</f>
        <v>0.102301757364758</v>
      </c>
      <c r="L33" s="504">
        <f>CHOOSE(Assumptions!$D$18,L34,L35,L36)</f>
        <v>0.090301757364758</v>
      </c>
      <c r="M33" s="504">
        <f>CHOOSE(Assumptions!$D$18,M34,M35,M36)</f>
        <v>0.078301757364758</v>
      </c>
      <c r="N33" s="504">
        <f>CHOOSE(Assumptions!$D$18,N34,N35,N36)</f>
        <v>0.066301757364758</v>
      </c>
      <c r="O33" s="504">
        <f>CHOOSE(Assumptions!$D$18,O34,O35,O36)</f>
        <v>0.054301757364758</v>
      </c>
      <c r="P33" s="504">
        <f>CHOOSE(Assumptions!$D$18,P34,P35,P36)</f>
        <v>0.042301757364758</v>
      </c>
      <c r="Q33" s="504">
        <f>CHOOSE(Assumptions!$D$18,Q34,Q35,Q36)</f>
        <v>0.030301757364758</v>
      </c>
    </row>
    <row r="34" ht="14.25" customHeight="1" spans="2:17">
      <c r="B34" s="501"/>
      <c r="C34" s="508"/>
      <c r="D34" s="509"/>
      <c r="E34" s="509"/>
      <c r="F34" s="509"/>
      <c r="G34" s="509"/>
      <c r="H34" s="505">
        <f t="shared" ref="H34:Q34" si="15">H35+0.05</f>
        <v>0.188301757364758</v>
      </c>
      <c r="I34" s="505">
        <f t="shared" si="15"/>
        <v>0.176301757364758</v>
      </c>
      <c r="J34" s="505">
        <f t="shared" si="15"/>
        <v>0.164301757364758</v>
      </c>
      <c r="K34" s="505">
        <f t="shared" si="15"/>
        <v>0.152301757364758</v>
      </c>
      <c r="L34" s="505">
        <f t="shared" si="15"/>
        <v>0.140301757364758</v>
      </c>
      <c r="M34" s="505">
        <f t="shared" si="15"/>
        <v>0.128301757364758</v>
      </c>
      <c r="N34" s="505">
        <f t="shared" si="15"/>
        <v>0.116301757364758</v>
      </c>
      <c r="O34" s="505">
        <f t="shared" si="15"/>
        <v>0.104301757364758</v>
      </c>
      <c r="P34" s="505">
        <f t="shared" si="15"/>
        <v>0.092301757364758</v>
      </c>
      <c r="Q34" s="505">
        <f t="shared" si="15"/>
        <v>0.080301757364758</v>
      </c>
    </row>
    <row r="35" ht="14.25" customHeight="1" spans="2:17">
      <c r="B35" s="501"/>
      <c r="C35" s="508"/>
      <c r="D35" s="65"/>
      <c r="E35" s="65"/>
      <c r="F35" s="65"/>
      <c r="G35" s="65"/>
      <c r="H35" s="505">
        <f>AVERAGE(D33:G33)</f>
        <v>0.138301757364758</v>
      </c>
      <c r="I35" s="505">
        <f t="shared" ref="I35:Q35" si="16">H35-0.012</f>
        <v>0.126301757364758</v>
      </c>
      <c r="J35" s="505">
        <f t="shared" si="16"/>
        <v>0.114301757364758</v>
      </c>
      <c r="K35" s="505">
        <f t="shared" si="16"/>
        <v>0.102301757364758</v>
      </c>
      <c r="L35" s="505">
        <f t="shared" si="16"/>
        <v>0.090301757364758</v>
      </c>
      <c r="M35" s="505">
        <f t="shared" si="16"/>
        <v>0.078301757364758</v>
      </c>
      <c r="N35" s="505">
        <f t="shared" si="16"/>
        <v>0.066301757364758</v>
      </c>
      <c r="O35" s="505">
        <f t="shared" si="16"/>
        <v>0.054301757364758</v>
      </c>
      <c r="P35" s="505">
        <f t="shared" si="16"/>
        <v>0.042301757364758</v>
      </c>
      <c r="Q35" s="505">
        <f t="shared" si="16"/>
        <v>0.030301757364758</v>
      </c>
    </row>
    <row r="36" ht="14.25" customHeight="1" spans="2:17">
      <c r="B36" s="501"/>
      <c r="C36" s="508"/>
      <c r="D36" s="65"/>
      <c r="E36" s="65"/>
      <c r="F36" s="65"/>
      <c r="G36" s="65"/>
      <c r="H36" s="505">
        <f t="shared" ref="H36:Q36" si="17">H35-0.05</f>
        <v>0.088301757364758</v>
      </c>
      <c r="I36" s="505">
        <f t="shared" si="17"/>
        <v>0.076301757364758</v>
      </c>
      <c r="J36" s="505">
        <f t="shared" si="17"/>
        <v>0.064301757364758</v>
      </c>
      <c r="K36" s="505">
        <f t="shared" si="17"/>
        <v>0.052301757364758</v>
      </c>
      <c r="L36" s="505">
        <f t="shared" si="17"/>
        <v>0.040301757364758</v>
      </c>
      <c r="M36" s="505">
        <f t="shared" si="17"/>
        <v>0.028301757364758</v>
      </c>
      <c r="N36" s="505">
        <f t="shared" si="17"/>
        <v>0.016301757364758</v>
      </c>
      <c r="O36" s="505">
        <f t="shared" si="17"/>
        <v>0.00430175736475803</v>
      </c>
      <c r="P36" s="505">
        <f t="shared" si="17"/>
        <v>-0.00769824263524196</v>
      </c>
      <c r="Q36" s="505">
        <f t="shared" si="17"/>
        <v>-0.019698242635242</v>
      </c>
    </row>
    <row r="37" ht="14.25" customHeight="1" spans="2:17">
      <c r="B37" s="8"/>
      <c r="C37" s="508"/>
      <c r="D37" s="65"/>
      <c r="E37" s="65"/>
      <c r="F37" s="65"/>
      <c r="G37" s="65"/>
    </row>
    <row r="38" ht="14.25" customHeight="1" spans="2:17">
      <c r="B38" s="497" t="s">
        <v>264</v>
      </c>
      <c r="C38" s="498">
        <v>3869</v>
      </c>
      <c r="D38" s="499">
        <v>2944</v>
      </c>
      <c r="E38" s="499">
        <v>3773</v>
      </c>
      <c r="F38" s="499">
        <v>941</v>
      </c>
      <c r="G38" s="499">
        <v>0</v>
      </c>
      <c r="H38" s="510">
        <v>0</v>
      </c>
      <c r="I38" s="510">
        <v>0</v>
      </c>
      <c r="J38" s="510">
        <v>0</v>
      </c>
      <c r="K38" s="510">
        <v>0</v>
      </c>
      <c r="L38" s="510">
        <v>0</v>
      </c>
      <c r="M38" s="510">
        <v>0</v>
      </c>
      <c r="N38" s="510">
        <v>0</v>
      </c>
      <c r="O38" s="510">
        <v>0</v>
      </c>
      <c r="P38" s="510">
        <v>0</v>
      </c>
      <c r="Q38" s="510">
        <v>0</v>
      </c>
    </row>
    <row r="39" ht="14.25" customHeight="1" spans="2:17">
      <c r="B39" s="501"/>
      <c r="C39" s="502"/>
      <c r="D39" s="503">
        <f>IFERROR(D38/C38-1,"")</f>
        <v>-0.239079865598346</v>
      </c>
      <c r="E39" s="503">
        <f>IFERROR(E38/D38-1,"")</f>
        <v>0.281589673913043</v>
      </c>
      <c r="F39" s="503">
        <f>IFERROR(F38/E38-1,"")</f>
        <v>-0.750596342433077</v>
      </c>
      <c r="G39" s="503">
        <f>IFERROR(G38/F38-1,"")</f>
        <v>-1</v>
      </c>
    </row>
    <row r="40" ht="14.25" customHeight="1" spans="2:17">
      <c r="B40" s="501"/>
      <c r="C40" s="508"/>
      <c r="D40" s="65"/>
      <c r="E40" s="65"/>
      <c r="F40" s="65"/>
      <c r="G40" s="65"/>
      <c r="H40" s="487"/>
      <c r="I40" s="487"/>
      <c r="J40" s="487"/>
      <c r="K40" s="487"/>
      <c r="L40" s="487"/>
      <c r="M40" s="487"/>
      <c r="N40" s="487"/>
      <c r="O40" s="487"/>
      <c r="P40" s="487"/>
      <c r="Q40" s="487"/>
    </row>
    <row r="41" ht="14.25" customHeight="1" spans="2:17">
      <c r="B41" s="501"/>
      <c r="C41" s="264"/>
      <c r="H41" s="487"/>
      <c r="I41" s="487"/>
      <c r="J41" s="487"/>
      <c r="K41" s="487"/>
      <c r="L41" s="487"/>
      <c r="M41" s="487"/>
      <c r="N41" s="487"/>
      <c r="O41" s="487"/>
      <c r="P41" s="487"/>
      <c r="Q41" s="487"/>
    </row>
    <row r="42" ht="14.25" customHeight="1" spans="2:17">
      <c r="B42" s="501"/>
      <c r="C42" s="508"/>
      <c r="D42" s="65"/>
      <c r="E42" s="65"/>
      <c r="F42" s="65"/>
      <c r="G42" s="65"/>
      <c r="H42" s="487"/>
      <c r="I42" s="487"/>
      <c r="J42" s="487"/>
      <c r="K42" s="487"/>
      <c r="L42" s="487"/>
      <c r="M42" s="487"/>
      <c r="N42" s="487"/>
      <c r="O42" s="487"/>
      <c r="P42" s="487"/>
      <c r="Q42" s="487"/>
    </row>
    <row r="43" ht="14.25" customHeight="1" spans="2:17">
      <c r="B43" s="8"/>
      <c r="C43" s="508"/>
      <c r="D43" s="65"/>
      <c r="E43" s="65"/>
      <c r="F43" s="65"/>
      <c r="G43" s="65"/>
    </row>
    <row r="44" ht="14.25" customHeight="1" spans="2:17">
      <c r="B44" s="511" t="s">
        <v>265</v>
      </c>
      <c r="C44" s="512">
        <v>160702</v>
      </c>
      <c r="D44" s="513">
        <v>185931</v>
      </c>
      <c r="E44" s="513">
        <v>208209</v>
      </c>
      <c r="F44" s="513">
        <v>220935</v>
      </c>
      <c r="G44" s="513">
        <v>211766</v>
      </c>
      <c r="H44" s="514">
        <f t="shared" ref="H44:Q44" si="18">G44*(1+H45)</f>
        <v>227459.526737536</v>
      </c>
      <c r="I44" s="514">
        <f t="shared" si="18"/>
        <v>241586.552959374</v>
      </c>
      <c r="J44" s="514">
        <f t="shared" si="18"/>
        <v>253691.940023026</v>
      </c>
      <c r="K44" s="514">
        <f t="shared" si="18"/>
        <v>263359.598941341</v>
      </c>
      <c r="L44" s="514">
        <f t="shared" si="18"/>
        <v>270235.356540583</v>
      </c>
      <c r="M44" s="514">
        <f t="shared" si="18"/>
        <v>274047.801231926</v>
      </c>
      <c r="N44" s="514">
        <f t="shared" si="18"/>
        <v>274625.457774276</v>
      </c>
      <c r="O44" s="514">
        <f t="shared" si="18"/>
        <v>271908.826446974</v>
      </c>
      <c r="P44" s="514">
        <f t="shared" si="18"/>
        <v>265956.162478472</v>
      </c>
      <c r="Q44" s="514">
        <f t="shared" si="18"/>
        <v>256942.341066629</v>
      </c>
    </row>
    <row r="45" ht="14.25" customHeight="1" spans="2:17">
      <c r="B45" s="501"/>
      <c r="C45" s="503"/>
      <c r="D45" s="503">
        <f>IFERROR(D44/C44-1,"")</f>
        <v>0.156992445644734</v>
      </c>
      <c r="E45" s="503">
        <f>IFERROR(E44/D44-1,"")</f>
        <v>0.1198186423996</v>
      </c>
      <c r="F45" s="503">
        <f>IFERROR(F44/E44-1,"")</f>
        <v>0.0611212771782199</v>
      </c>
      <c r="G45" s="503">
        <f>IFERROR(G44/F44-1,"")</f>
        <v>-0.0415008939280784</v>
      </c>
      <c r="H45" s="515">
        <f>CHOOSE(Assumptions!$D$18,H46,H47,H48)</f>
        <v>0.0741078678236188</v>
      </c>
      <c r="I45" s="515">
        <f>CHOOSE(Assumptions!$D$18,I46,I47,I48)</f>
        <v>0.0621078678236188</v>
      </c>
      <c r="J45" s="515">
        <f>CHOOSE(Assumptions!$D$18,J46,J47,J48)</f>
        <v>0.0501078678236188</v>
      </c>
      <c r="K45" s="515">
        <f>CHOOSE(Assumptions!$D$18,K46,K47,K48)</f>
        <v>0.0381078678236188</v>
      </c>
      <c r="L45" s="515">
        <f>CHOOSE(Assumptions!$D$18,L46,L47,L48)</f>
        <v>0.0261078678236188</v>
      </c>
      <c r="M45" s="515">
        <f>CHOOSE(Assumptions!$D$18,M46,M47,M48)</f>
        <v>0.0141078678236188</v>
      </c>
      <c r="N45" s="515">
        <f>CHOOSE(Assumptions!$D$18,N46,N47,N48)</f>
        <v>0.00210786782361881</v>
      </c>
      <c r="O45" s="515">
        <f>CHOOSE(Assumptions!$D$18,O46,O47,O48)</f>
        <v>-0.00989213217638119</v>
      </c>
      <c r="P45" s="515">
        <f>CHOOSE(Assumptions!$D$18,P46,P47,P48)</f>
        <v>-0.0218921321763812</v>
      </c>
      <c r="Q45" s="515">
        <f>CHOOSE(Assumptions!$D$18,Q46,Q47,Q48)</f>
        <v>-0.0338921321763812</v>
      </c>
    </row>
    <row r="46" ht="14.25" customHeight="1" spans="2:17">
      <c r="B46" s="501"/>
      <c r="C46" s="65"/>
      <c r="D46" s="65"/>
      <c r="E46" s="65"/>
      <c r="F46" s="65"/>
      <c r="G46" s="65"/>
      <c r="H46" s="516">
        <f t="shared" ref="H46:Q46" si="19">H47+0.05</f>
        <v>0.124107867823619</v>
      </c>
      <c r="I46" s="516">
        <f t="shared" si="19"/>
        <v>0.112107867823619</v>
      </c>
      <c r="J46" s="516">
        <f t="shared" si="19"/>
        <v>0.100107867823619</v>
      </c>
      <c r="K46" s="516">
        <f t="shared" si="19"/>
        <v>0.0881078678236188</v>
      </c>
      <c r="L46" s="516">
        <f t="shared" si="19"/>
        <v>0.0761078678236188</v>
      </c>
      <c r="M46" s="516">
        <f t="shared" si="19"/>
        <v>0.0641078678236188</v>
      </c>
      <c r="N46" s="516">
        <f t="shared" si="19"/>
        <v>0.0521078678236188</v>
      </c>
      <c r="O46" s="516">
        <f t="shared" si="19"/>
        <v>0.0401078678236188</v>
      </c>
      <c r="P46" s="516">
        <f t="shared" si="19"/>
        <v>0.0281078678236188</v>
      </c>
      <c r="Q46" s="516">
        <f t="shared" si="19"/>
        <v>0.0161078678236188</v>
      </c>
    </row>
    <row r="47" ht="14.25" customHeight="1" spans="2:17">
      <c r="B47" s="501"/>
      <c r="C47" s="65"/>
      <c r="D47" s="65"/>
      <c r="E47" s="65"/>
      <c r="F47" s="65"/>
      <c r="G47" s="65"/>
      <c r="H47" s="516">
        <f>AVERAGE(D45:G45)</f>
        <v>0.0741078678236188</v>
      </c>
      <c r="I47" s="516">
        <f t="shared" ref="I47:Q47" si="20">H47-0.012</f>
        <v>0.0621078678236188</v>
      </c>
      <c r="J47" s="516">
        <f t="shared" si="20"/>
        <v>0.0501078678236188</v>
      </c>
      <c r="K47" s="516">
        <f t="shared" si="20"/>
        <v>0.0381078678236188</v>
      </c>
      <c r="L47" s="516">
        <f t="shared" si="20"/>
        <v>0.0261078678236188</v>
      </c>
      <c r="M47" s="516">
        <f t="shared" si="20"/>
        <v>0.0141078678236188</v>
      </c>
      <c r="N47" s="516">
        <f t="shared" si="20"/>
        <v>0.00210786782361881</v>
      </c>
      <c r="O47" s="516">
        <f t="shared" si="20"/>
        <v>-0.00989213217638119</v>
      </c>
      <c r="P47" s="516">
        <f t="shared" si="20"/>
        <v>-0.0218921321763812</v>
      </c>
      <c r="Q47" s="516">
        <f t="shared" si="20"/>
        <v>-0.0338921321763812</v>
      </c>
    </row>
    <row r="48" ht="14.25" customHeight="1" spans="2:17">
      <c r="B48" s="501"/>
      <c r="C48" s="65"/>
      <c r="D48" s="65"/>
      <c r="E48" s="65"/>
      <c r="F48" s="65"/>
      <c r="G48" s="65"/>
      <c r="H48" s="516">
        <f t="shared" ref="H48:Q48" si="21">H47-0.05</f>
        <v>0.0241078678236188</v>
      </c>
      <c r="I48" s="516">
        <f t="shared" si="21"/>
        <v>0.0121078678236188</v>
      </c>
      <c r="J48" s="516">
        <f t="shared" si="21"/>
        <v>0.00010786782361881</v>
      </c>
      <c r="K48" s="516">
        <f t="shared" si="21"/>
        <v>-0.0118921321763812</v>
      </c>
      <c r="L48" s="516">
        <f t="shared" si="21"/>
        <v>-0.0238921321763812</v>
      </c>
      <c r="M48" s="516">
        <f t="shared" si="21"/>
        <v>-0.0358921321763812</v>
      </c>
      <c r="N48" s="516">
        <f t="shared" si="21"/>
        <v>-0.0478921321763812</v>
      </c>
      <c r="O48" s="516">
        <f t="shared" si="21"/>
        <v>-0.0598921321763812</v>
      </c>
      <c r="P48" s="516">
        <f t="shared" si="21"/>
        <v>-0.0718921321763812</v>
      </c>
      <c r="Q48" s="516">
        <f t="shared" si="21"/>
        <v>-0.0838921321763812</v>
      </c>
    </row>
    <row r="49" ht="14.25" customHeight="1" spans="2:17">
      <c r="B49" s="8"/>
      <c r="C49" s="65"/>
      <c r="D49" s="65"/>
      <c r="E49" s="65"/>
      <c r="F49" s="65"/>
      <c r="G49" s="65"/>
      <c r="H49" s="74"/>
      <c r="I49" s="74"/>
      <c r="J49" s="74"/>
      <c r="K49" s="74"/>
      <c r="L49" s="74"/>
      <c r="M49" s="74"/>
      <c r="N49" s="74"/>
      <c r="O49" s="74"/>
      <c r="P49" s="74"/>
      <c r="Q49" s="74"/>
    </row>
    <row r="50" ht="14.25" customHeight="1" spans="2:17">
      <c r="B50" s="497" t="s">
        <v>266</v>
      </c>
      <c r="C50" s="510">
        <v>0</v>
      </c>
      <c r="D50" s="510">
        <v>0</v>
      </c>
      <c r="E50" s="510">
        <v>0</v>
      </c>
      <c r="F50" s="510">
        <v>112920</v>
      </c>
      <c r="G50" s="510">
        <v>326944</v>
      </c>
      <c r="H50" s="517">
        <f t="shared" ref="H50:Q50" si="22">G50*(1+H51)</f>
        <v>353099.52</v>
      </c>
      <c r="I50" s="517">
        <f t="shared" si="22"/>
        <v>377110.28736</v>
      </c>
      <c r="J50" s="517">
        <f t="shared" si="22"/>
        <v>398228.46345216</v>
      </c>
      <c r="K50" s="517">
        <f t="shared" si="22"/>
        <v>415750.515844055</v>
      </c>
      <c r="L50" s="517">
        <f t="shared" si="22"/>
        <v>429054.532351065</v>
      </c>
      <c r="M50" s="517">
        <f t="shared" si="22"/>
        <v>437635.622998086</v>
      </c>
      <c r="N50" s="517">
        <f t="shared" si="22"/>
        <v>441136.707982071</v>
      </c>
      <c r="O50" s="517">
        <f t="shared" si="22"/>
        <v>439372.161150143</v>
      </c>
      <c r="P50" s="517">
        <f t="shared" si="22"/>
        <v>432342.20657174</v>
      </c>
      <c r="Q50" s="517">
        <f t="shared" si="22"/>
        <v>420236.624787732</v>
      </c>
    </row>
    <row r="51" ht="14.25" customHeight="1" spans="2:17">
      <c r="B51" s="501"/>
      <c r="C51" s="503"/>
      <c r="D51" s="503" t="str">
        <f>IFERROR(D50/C50-1,"")</f>
        <v/>
      </c>
      <c r="E51" s="503" t="str">
        <f>IFERROR(E50/D50-1,"")</f>
        <v/>
      </c>
      <c r="F51" s="503" t="str">
        <f>IFERROR(F50/E50-1,"")</f>
        <v/>
      </c>
      <c r="G51" s="503">
        <f>IFERROR(G50/F50-1,"")</f>
        <v>1.89535954658165</v>
      </c>
      <c r="H51" s="518">
        <f>CHOOSE(Assumptions!$D$18,H52,H53,H54)</f>
        <v>0.08</v>
      </c>
      <c r="I51" s="518">
        <f>CHOOSE(Assumptions!$D$18,I52,I53,I54)</f>
        <v>0.068</v>
      </c>
      <c r="J51" s="518">
        <f>CHOOSE(Assumptions!$D$18,J52,J53,J54)</f>
        <v>0.056</v>
      </c>
      <c r="K51" s="518">
        <f>CHOOSE(Assumptions!$D$18,K52,K53,K54)</f>
        <v>0.044</v>
      </c>
      <c r="L51" s="518">
        <f>CHOOSE(Assumptions!$D$18,L52,L53,L54)</f>
        <v>0.032</v>
      </c>
      <c r="M51" s="518">
        <f>CHOOSE(Assumptions!$D$18,M52,M53,M54)</f>
        <v>0.02</v>
      </c>
      <c r="N51" s="518">
        <f>CHOOSE(Assumptions!$D$18,N52,N53,N54)</f>
        <v>0.00800000000000001</v>
      </c>
      <c r="O51" s="518">
        <f>CHOOSE(Assumptions!$D$18,O52,O53,O54)</f>
        <v>-0.00399999999999999</v>
      </c>
      <c r="P51" s="518">
        <f>CHOOSE(Assumptions!$D$18,P52,P53,P54)</f>
        <v>-0.016</v>
      </c>
      <c r="Q51" s="518">
        <f>CHOOSE(Assumptions!$D$18,Q52,Q53,Q54)</f>
        <v>-0.028</v>
      </c>
    </row>
    <row r="52" ht="14.25" customHeight="1" spans="2:17">
      <c r="B52" s="501"/>
      <c r="C52" s="65"/>
      <c r="D52" s="65"/>
      <c r="E52" s="65"/>
      <c r="F52" s="65"/>
      <c r="G52" s="65"/>
      <c r="H52" s="516">
        <f t="shared" ref="H52:Q52" si="23">H53+0.05</f>
        <v>0.13</v>
      </c>
      <c r="I52" s="516">
        <f t="shared" si="23"/>
        <v>0.118</v>
      </c>
      <c r="J52" s="516">
        <f t="shared" si="23"/>
        <v>0.106</v>
      </c>
      <c r="K52" s="516">
        <f t="shared" si="23"/>
        <v>0.094</v>
      </c>
      <c r="L52" s="516">
        <f t="shared" si="23"/>
        <v>0.082</v>
      </c>
      <c r="M52" s="516">
        <f t="shared" si="23"/>
        <v>0.07</v>
      </c>
      <c r="N52" s="516">
        <f t="shared" si="23"/>
        <v>0.058</v>
      </c>
      <c r="O52" s="516">
        <f t="shared" si="23"/>
        <v>0.046</v>
      </c>
      <c r="P52" s="516">
        <f t="shared" si="23"/>
        <v>0.034</v>
      </c>
      <c r="Q52" s="516">
        <f t="shared" si="23"/>
        <v>0.022</v>
      </c>
    </row>
    <row r="53" ht="14.25" customHeight="1" spans="2:17">
      <c r="B53" s="501"/>
      <c r="C53" s="65"/>
      <c r="D53" s="65"/>
      <c r="E53" s="65"/>
      <c r="F53" s="65"/>
      <c r="G53" s="65"/>
      <c r="H53" s="519">
        <v>0.08</v>
      </c>
      <c r="I53" s="516">
        <f t="shared" ref="I53:Q53" si="24">H53-0.012</f>
        <v>0.068</v>
      </c>
      <c r="J53" s="516">
        <f t="shared" si="24"/>
        <v>0.056</v>
      </c>
      <c r="K53" s="516">
        <f t="shared" si="24"/>
        <v>0.044</v>
      </c>
      <c r="L53" s="516">
        <f t="shared" si="24"/>
        <v>0.032</v>
      </c>
      <c r="M53" s="516">
        <f t="shared" si="24"/>
        <v>0.02</v>
      </c>
      <c r="N53" s="516">
        <f t="shared" si="24"/>
        <v>0.00800000000000001</v>
      </c>
      <c r="O53" s="516">
        <f t="shared" si="24"/>
        <v>-0.00399999999999999</v>
      </c>
      <c r="P53" s="516">
        <f t="shared" si="24"/>
        <v>-0.016</v>
      </c>
      <c r="Q53" s="516">
        <f t="shared" si="24"/>
        <v>-0.028</v>
      </c>
    </row>
    <row r="54" ht="14.25" customHeight="1" spans="2:17">
      <c r="B54" s="501"/>
      <c r="C54" s="55"/>
      <c r="D54" s="55"/>
      <c r="E54" s="55"/>
      <c r="F54" s="55"/>
      <c r="G54" s="55"/>
      <c r="H54" s="516">
        <f t="shared" ref="H54:Q54" si="25">H53-0.05</f>
        <v>0.03</v>
      </c>
      <c r="I54" s="516">
        <f t="shared" si="25"/>
        <v>0.018</v>
      </c>
      <c r="J54" s="516">
        <f t="shared" si="25"/>
        <v>0.00600000000000001</v>
      </c>
      <c r="K54" s="516">
        <f t="shared" si="25"/>
        <v>-0.00599999999999999</v>
      </c>
      <c r="L54" s="516">
        <f t="shared" si="25"/>
        <v>-0.018</v>
      </c>
      <c r="M54" s="516">
        <f t="shared" si="25"/>
        <v>-0.03</v>
      </c>
      <c r="N54" s="516">
        <f t="shared" si="25"/>
        <v>-0.042</v>
      </c>
      <c r="O54" s="516">
        <f t="shared" si="25"/>
        <v>-0.054</v>
      </c>
      <c r="P54" s="516">
        <f t="shared" si="25"/>
        <v>-0.066</v>
      </c>
      <c r="Q54" s="516">
        <f t="shared" si="25"/>
        <v>-0.078</v>
      </c>
    </row>
    <row r="55" ht="14.25" customHeight="1" spans="2:17">
      <c r="B55" s="125"/>
      <c r="C55" s="125"/>
      <c r="D55" s="125"/>
      <c r="E55" s="125"/>
      <c r="F55" s="125"/>
      <c r="G55" s="125"/>
      <c r="H55" s="74"/>
      <c r="I55" s="74"/>
      <c r="J55" s="74"/>
      <c r="K55" s="74"/>
      <c r="L55" s="74"/>
      <c r="M55" s="74"/>
      <c r="N55" s="74"/>
      <c r="O55" s="74"/>
      <c r="P55" s="74"/>
      <c r="Q55" s="74"/>
    </row>
    <row r="56" ht="14.25" customHeight="1" spans="2:17">
      <c r="B56" s="520" t="s">
        <v>267</v>
      </c>
      <c r="C56" s="521">
        <v>30390</v>
      </c>
      <c r="D56" s="521">
        <v>40472</v>
      </c>
      <c r="E56" s="521">
        <v>49701</v>
      </c>
      <c r="F56" s="521">
        <v>59044</v>
      </c>
      <c r="G56" s="521">
        <v>77747</v>
      </c>
      <c r="H56" s="517">
        <f t="shared" ref="H56:Q56" si="26">G56*(1+H57)</f>
        <v>98438.1196600022</v>
      </c>
      <c r="I56" s="517">
        <f t="shared" si="26"/>
        <v>123454.592207113</v>
      </c>
      <c r="J56" s="517">
        <f t="shared" si="26"/>
        <v>153347.145741093</v>
      </c>
      <c r="K56" s="517">
        <f t="shared" si="26"/>
        <v>188637.536915173</v>
      </c>
      <c r="L56" s="517">
        <f t="shared" si="26"/>
        <v>229785.796329913</v>
      </c>
      <c r="M56" s="517">
        <f t="shared" si="26"/>
        <v>277152.460376056</v>
      </c>
      <c r="N56" s="517">
        <f t="shared" si="26"/>
        <v>330957.174557327</v>
      </c>
      <c r="O56" s="517">
        <f t="shared" si="26"/>
        <v>391235.726723661</v>
      </c>
      <c r="P56" s="517">
        <f t="shared" si="26"/>
        <v>457798.223649987</v>
      </c>
      <c r="Q56" s="517">
        <f t="shared" si="26"/>
        <v>530191.685369588</v>
      </c>
    </row>
    <row r="57" ht="14.25" customHeight="1" spans="2:17">
      <c r="B57" s="522"/>
      <c r="C57" s="523"/>
      <c r="D57" s="523">
        <f>IFERROR(D56/C56-1,"")</f>
        <v>0.331753866403422</v>
      </c>
      <c r="E57" s="523">
        <f>IFERROR(E56/D56-1,"")</f>
        <v>0.228034196481518</v>
      </c>
      <c r="F57" s="523">
        <f>IFERROR(F56/E56-1,"")</f>
        <v>0.187984145188226</v>
      </c>
      <c r="G57" s="523">
        <f>IFERROR(G56/F56-1,"")</f>
        <v>0.316763769392318</v>
      </c>
      <c r="H57" s="518">
        <f>CHOOSE(Assumptions!$D$18,H58,H59,H60)</f>
        <v>0.266133994366371</v>
      </c>
      <c r="I57" s="518">
        <f>CHOOSE(Assumptions!$D$18,I58,I59,I60)</f>
        <v>0.254133994366371</v>
      </c>
      <c r="J57" s="518">
        <f>CHOOSE(Assumptions!$D$18,J58,J59,J60)</f>
        <v>0.242133994366371</v>
      </c>
      <c r="K57" s="518">
        <f>CHOOSE(Assumptions!$D$18,K58,K59,K60)</f>
        <v>0.230133994366371</v>
      </c>
      <c r="L57" s="518">
        <f>CHOOSE(Assumptions!$D$18,L58,L59,L60)</f>
        <v>0.218133994366371</v>
      </c>
      <c r="M57" s="518">
        <f>CHOOSE(Assumptions!$D$18,M58,M59,M60)</f>
        <v>0.206133994366371</v>
      </c>
      <c r="N57" s="518">
        <f>CHOOSE(Assumptions!$D$18,N58,N59,N60)</f>
        <v>0.194133994366371</v>
      </c>
      <c r="O57" s="518">
        <f>CHOOSE(Assumptions!$D$18,O58,O59,O60)</f>
        <v>0.182133994366371</v>
      </c>
      <c r="P57" s="518">
        <f>CHOOSE(Assumptions!$D$18,P58,P59,P60)</f>
        <v>0.170133994366371</v>
      </c>
      <c r="Q57" s="518">
        <f>CHOOSE(Assumptions!$D$18,Q58,Q59,Q60)</f>
        <v>0.158133994366371</v>
      </c>
    </row>
    <row r="58" ht="14.25" customHeight="1" spans="2:17">
      <c r="B58" s="522"/>
      <c r="C58" s="125"/>
      <c r="D58" s="125"/>
      <c r="E58" s="125"/>
      <c r="F58" s="125"/>
      <c r="G58" s="125"/>
      <c r="H58" s="516">
        <f t="shared" ref="H58:Q58" si="27">H59+0.05</f>
        <v>0.316133994366371</v>
      </c>
      <c r="I58" s="516">
        <f t="shared" si="27"/>
        <v>0.304133994366371</v>
      </c>
      <c r="J58" s="516">
        <f t="shared" si="27"/>
        <v>0.292133994366371</v>
      </c>
      <c r="K58" s="516">
        <f t="shared" si="27"/>
        <v>0.280133994366371</v>
      </c>
      <c r="L58" s="516">
        <f t="shared" si="27"/>
        <v>0.268133994366371</v>
      </c>
      <c r="M58" s="516">
        <f t="shared" si="27"/>
        <v>0.256133994366371</v>
      </c>
      <c r="N58" s="516">
        <f t="shared" si="27"/>
        <v>0.244133994366371</v>
      </c>
      <c r="O58" s="516">
        <f t="shared" si="27"/>
        <v>0.232133994366371</v>
      </c>
      <c r="P58" s="516">
        <f t="shared" si="27"/>
        <v>0.220133994366371</v>
      </c>
      <c r="Q58" s="516">
        <f t="shared" si="27"/>
        <v>0.208133994366371</v>
      </c>
    </row>
    <row r="59" ht="14.25" customHeight="1" spans="2:17">
      <c r="B59" s="522"/>
      <c r="C59" s="125"/>
      <c r="D59" s="125"/>
      <c r="E59" s="125"/>
      <c r="F59" s="125"/>
      <c r="G59" s="125"/>
      <c r="H59" s="516">
        <f>AVERAGE(D57:G57)</f>
        <v>0.266133994366371</v>
      </c>
      <c r="I59" s="516">
        <f t="shared" ref="I59:Q59" si="28">H59-0.012</f>
        <v>0.254133994366371</v>
      </c>
      <c r="J59" s="516">
        <f t="shared" si="28"/>
        <v>0.242133994366371</v>
      </c>
      <c r="K59" s="516">
        <f t="shared" si="28"/>
        <v>0.230133994366371</v>
      </c>
      <c r="L59" s="516">
        <f t="shared" si="28"/>
        <v>0.218133994366371</v>
      </c>
      <c r="M59" s="516">
        <f t="shared" si="28"/>
        <v>0.206133994366371</v>
      </c>
      <c r="N59" s="516">
        <f t="shared" si="28"/>
        <v>0.194133994366371</v>
      </c>
      <c r="O59" s="516">
        <f t="shared" si="28"/>
        <v>0.182133994366371</v>
      </c>
      <c r="P59" s="516">
        <f t="shared" si="28"/>
        <v>0.170133994366371</v>
      </c>
      <c r="Q59" s="516">
        <f t="shared" si="28"/>
        <v>0.158133994366371</v>
      </c>
    </row>
    <row r="60" ht="14.25" customHeight="1" spans="2:17">
      <c r="B60" s="522"/>
      <c r="C60" s="125"/>
      <c r="D60" s="125"/>
      <c r="E60" s="125"/>
      <c r="F60" s="125"/>
      <c r="G60" s="125"/>
      <c r="H60" s="516">
        <f t="shared" ref="H60:Q60" si="29">H59-0.05</f>
        <v>0.216133994366371</v>
      </c>
      <c r="I60" s="516">
        <f t="shared" si="29"/>
        <v>0.204133994366371</v>
      </c>
      <c r="J60" s="516">
        <f t="shared" si="29"/>
        <v>0.192133994366371</v>
      </c>
      <c r="K60" s="516">
        <f t="shared" si="29"/>
        <v>0.180133994366371</v>
      </c>
      <c r="L60" s="516">
        <f t="shared" si="29"/>
        <v>0.168133994366371</v>
      </c>
      <c r="M60" s="516">
        <f t="shared" si="29"/>
        <v>0.156133994366371</v>
      </c>
      <c r="N60" s="516">
        <f t="shared" si="29"/>
        <v>0.144133994366371</v>
      </c>
      <c r="O60" s="516">
        <f t="shared" si="29"/>
        <v>0.132133994366371</v>
      </c>
      <c r="P60" s="516">
        <f t="shared" si="29"/>
        <v>0.120133994366371</v>
      </c>
      <c r="Q60" s="516">
        <f t="shared" si="29"/>
        <v>0.108133994366371</v>
      </c>
    </row>
    <row r="61" ht="14.25" customHeight="1" spans="2:17">
      <c r="B61" s="125"/>
      <c r="C61" s="125"/>
      <c r="D61" s="125"/>
      <c r="E61" s="125"/>
      <c r="F61" s="125"/>
      <c r="G61" s="125"/>
      <c r="H61" s="74"/>
      <c r="I61" s="74"/>
      <c r="J61" s="74"/>
      <c r="K61" s="74"/>
      <c r="L61" s="74"/>
      <c r="M61" s="74"/>
      <c r="N61" s="74"/>
      <c r="O61" s="74"/>
      <c r="P61" s="74"/>
      <c r="Q61" s="74"/>
    </row>
    <row r="62" ht="14.25" customHeight="1" spans="2:17">
      <c r="B62" s="520" t="s">
        <v>268</v>
      </c>
      <c r="C62" s="521">
        <v>31538</v>
      </c>
      <c r="D62" s="521">
        <v>29450</v>
      </c>
      <c r="E62" s="521">
        <v>30448</v>
      </c>
      <c r="F62" s="521">
        <v>30608</v>
      </c>
      <c r="G62" s="521">
        <v>30179</v>
      </c>
      <c r="H62" s="517">
        <f t="shared" ref="H62:Q62" si="30">G62*(1+H63)</f>
        <v>29869.0693351477</v>
      </c>
      <c r="I62" s="517">
        <f t="shared" si="30"/>
        <v>29203.8927474826</v>
      </c>
      <c r="J62" s="517">
        <f t="shared" si="30"/>
        <v>28203.0827605071</v>
      </c>
      <c r="K62" s="517">
        <f t="shared" si="30"/>
        <v>26898.133284464</v>
      </c>
      <c r="L62" s="517">
        <f t="shared" si="30"/>
        <v>25330.7858898205</v>
      </c>
      <c r="M62" s="517">
        <f t="shared" si="30"/>
        <v>23550.7979990953</v>
      </c>
      <c r="N62" s="517">
        <f t="shared" si="30"/>
        <v>21613.279829364</v>
      </c>
      <c r="O62" s="517">
        <f t="shared" si="30"/>
        <v>19575.801429395</v>
      </c>
      <c r="P62" s="517">
        <f t="shared" si="30"/>
        <v>17495.4859835403</v>
      </c>
      <c r="Q62" s="517">
        <f t="shared" si="30"/>
        <v>15426.2992999359</v>
      </c>
    </row>
    <row r="63" ht="14.25" customHeight="1" spans="2:17">
      <c r="B63" s="522"/>
      <c r="C63" s="523"/>
      <c r="D63" s="523">
        <f>IFERROR(D62/C62-1,"")</f>
        <v>-0.0662058469148329</v>
      </c>
      <c r="E63" s="523">
        <f>IFERROR(E62/D62-1,"")</f>
        <v>0.0338879456706283</v>
      </c>
      <c r="F63" s="523">
        <f>IFERROR(F62/E62-1,"")</f>
        <v>0.00525486074619019</v>
      </c>
      <c r="G63" s="523">
        <f>IFERROR(G62/F62-1,"")</f>
        <v>-0.0140159435441715</v>
      </c>
      <c r="H63" s="518">
        <f>CHOOSE(Assumptions!$D$18,H64,H65,H66)</f>
        <v>-0.0102697460105465</v>
      </c>
      <c r="I63" s="518">
        <f>CHOOSE(Assumptions!$D$18,I64,I65,I66)</f>
        <v>-0.0222697460105465</v>
      </c>
      <c r="J63" s="518">
        <f>CHOOSE(Assumptions!$D$18,J64,J65,J66)</f>
        <v>-0.0342697460105465</v>
      </c>
      <c r="K63" s="518">
        <f>CHOOSE(Assumptions!$D$18,K64,K65,K66)</f>
        <v>-0.0462697460105465</v>
      </c>
      <c r="L63" s="518">
        <f>CHOOSE(Assumptions!$D$18,L64,L65,L66)</f>
        <v>-0.0582697460105465</v>
      </c>
      <c r="M63" s="518">
        <f>CHOOSE(Assumptions!$D$18,M64,M65,M66)</f>
        <v>-0.0702697460105465</v>
      </c>
      <c r="N63" s="518">
        <f>CHOOSE(Assumptions!$D$18,N64,N65,N66)</f>
        <v>-0.0822697460105465</v>
      </c>
      <c r="O63" s="518">
        <f>CHOOSE(Assumptions!$D$18,O64,O65,O66)</f>
        <v>-0.0942697460105465</v>
      </c>
      <c r="P63" s="518">
        <f>CHOOSE(Assumptions!$D$18,P64,P65,P66)</f>
        <v>-0.106269746010546</v>
      </c>
      <c r="Q63" s="518">
        <f>CHOOSE(Assumptions!$D$18,Q64,Q65,Q66)</f>
        <v>-0.118269746010546</v>
      </c>
    </row>
    <row r="64" ht="14.25" customHeight="1" spans="2:17">
      <c r="B64" s="522"/>
      <c r="C64" s="125"/>
      <c r="D64" s="125"/>
      <c r="E64" s="125"/>
      <c r="F64" s="125"/>
      <c r="G64" s="125"/>
      <c r="H64" s="516">
        <f t="shared" ref="H64:Q64" si="31">H65+0.05</f>
        <v>0.0397302539894535</v>
      </c>
      <c r="I64" s="516">
        <f t="shared" si="31"/>
        <v>0.0277302539894535</v>
      </c>
      <c r="J64" s="516">
        <f t="shared" si="31"/>
        <v>0.0157302539894535</v>
      </c>
      <c r="K64" s="516">
        <f t="shared" si="31"/>
        <v>0.00373025398945352</v>
      </c>
      <c r="L64" s="516">
        <f t="shared" si="31"/>
        <v>-0.00826974601054647</v>
      </c>
      <c r="M64" s="516">
        <f t="shared" si="31"/>
        <v>-0.0202697460105465</v>
      </c>
      <c r="N64" s="516">
        <f t="shared" si="31"/>
        <v>-0.0322697460105465</v>
      </c>
      <c r="O64" s="516">
        <f t="shared" si="31"/>
        <v>-0.0442697460105465</v>
      </c>
      <c r="P64" s="516">
        <f t="shared" si="31"/>
        <v>-0.0562697460105465</v>
      </c>
      <c r="Q64" s="516">
        <f t="shared" si="31"/>
        <v>-0.0682697460105465</v>
      </c>
    </row>
    <row r="65" ht="14.25" customHeight="1" spans="2:17">
      <c r="B65" s="522"/>
      <c r="C65" s="125"/>
      <c r="D65" s="125"/>
      <c r="E65" s="125"/>
      <c r="F65" s="125"/>
      <c r="G65" s="125"/>
      <c r="H65" s="516">
        <f>AVERAGE(D63:G63)</f>
        <v>-0.0102697460105465</v>
      </c>
      <c r="I65" s="516">
        <f t="shared" ref="I65:Q65" si="32">H65-0.012</f>
        <v>-0.0222697460105465</v>
      </c>
      <c r="J65" s="516">
        <f t="shared" si="32"/>
        <v>-0.0342697460105465</v>
      </c>
      <c r="K65" s="516">
        <f t="shared" si="32"/>
        <v>-0.0462697460105465</v>
      </c>
      <c r="L65" s="516">
        <f t="shared" si="32"/>
        <v>-0.0582697460105465</v>
      </c>
      <c r="M65" s="516">
        <f t="shared" si="32"/>
        <v>-0.0702697460105465</v>
      </c>
      <c r="N65" s="516">
        <f t="shared" si="32"/>
        <v>-0.0822697460105465</v>
      </c>
      <c r="O65" s="516">
        <f t="shared" si="32"/>
        <v>-0.0942697460105465</v>
      </c>
      <c r="P65" s="516">
        <f t="shared" si="32"/>
        <v>-0.106269746010546</v>
      </c>
      <c r="Q65" s="516">
        <f t="shared" si="32"/>
        <v>-0.118269746010546</v>
      </c>
    </row>
    <row r="66" ht="14.25" customHeight="1" spans="2:17">
      <c r="B66" s="522"/>
      <c r="C66" s="125"/>
      <c r="D66" s="125"/>
      <c r="E66" s="125"/>
      <c r="F66" s="125"/>
      <c r="G66" s="125"/>
      <c r="H66" s="516">
        <f t="shared" ref="H66:Q66" si="33">H65-0.05</f>
        <v>-0.0602697460105465</v>
      </c>
      <c r="I66" s="516">
        <f t="shared" si="33"/>
        <v>-0.0722697460105465</v>
      </c>
      <c r="J66" s="516">
        <f t="shared" si="33"/>
        <v>-0.0842697460105465</v>
      </c>
      <c r="K66" s="516">
        <f t="shared" si="33"/>
        <v>-0.0962697460105465</v>
      </c>
      <c r="L66" s="516">
        <f t="shared" si="33"/>
        <v>-0.108269746010546</v>
      </c>
      <c r="M66" s="516">
        <f t="shared" si="33"/>
        <v>-0.120269746010546</v>
      </c>
      <c r="N66" s="516">
        <f t="shared" si="33"/>
        <v>-0.132269746010546</v>
      </c>
      <c r="O66" s="516">
        <f t="shared" si="33"/>
        <v>-0.144269746010546</v>
      </c>
      <c r="P66" s="516">
        <f t="shared" si="33"/>
        <v>-0.156269746010546</v>
      </c>
      <c r="Q66" s="516">
        <f t="shared" si="33"/>
        <v>-0.168269746010546</v>
      </c>
    </row>
    <row r="67" ht="14.25" customHeight="1" spans="2:17">
      <c r="B67" s="125"/>
      <c r="C67" s="125"/>
      <c r="D67" s="125"/>
      <c r="E67" s="125"/>
      <c r="F67" s="125"/>
      <c r="G67" s="125"/>
      <c r="H67" s="74"/>
      <c r="I67" s="74"/>
      <c r="J67" s="74"/>
      <c r="K67" s="74"/>
      <c r="L67" s="74"/>
      <c r="M67" s="74"/>
      <c r="N67" s="74"/>
      <c r="O67" s="74"/>
      <c r="P67" s="74"/>
      <c r="Q67" s="74"/>
    </row>
    <row r="68" ht="14.25" customHeight="1" spans="2:17">
      <c r="B68" s="520" t="s">
        <v>57</v>
      </c>
      <c r="C68" s="521">
        <v>355</v>
      </c>
      <c r="D68" s="521">
        <v>855</v>
      </c>
      <c r="E68" s="521">
        <v>1875</v>
      </c>
      <c r="F68" s="521">
        <v>3478</v>
      </c>
      <c r="G68" s="521">
        <v>3883</v>
      </c>
      <c r="H68" s="517">
        <f t="shared" ref="H68:Q68" si="34">G68*(1+H69)</f>
        <v>4271.3</v>
      </c>
      <c r="I68" s="517">
        <f t="shared" si="34"/>
        <v>4647.1744</v>
      </c>
      <c r="J68" s="517">
        <f t="shared" si="34"/>
        <v>5000.3596544</v>
      </c>
      <c r="K68" s="517">
        <f t="shared" si="34"/>
        <v>5320.3826722816</v>
      </c>
      <c r="L68" s="517">
        <f t="shared" si="34"/>
        <v>5597.04257124024</v>
      </c>
      <c r="M68" s="517">
        <f t="shared" si="34"/>
        <v>5820.92427408985</v>
      </c>
      <c r="N68" s="517">
        <f t="shared" si="34"/>
        <v>5983.91015376437</v>
      </c>
      <c r="O68" s="517">
        <f t="shared" si="34"/>
        <v>6079.6527162246</v>
      </c>
      <c r="P68" s="517">
        <f t="shared" si="34"/>
        <v>6103.9713270895</v>
      </c>
      <c r="Q68" s="517">
        <f t="shared" si="34"/>
        <v>6055.13955647278</v>
      </c>
    </row>
    <row r="69" ht="14.25" customHeight="1" spans="2:17">
      <c r="B69" s="522"/>
      <c r="C69" s="523"/>
      <c r="D69" s="523">
        <f>IFERROR(D68/C68-1,"")</f>
        <v>1.40845070422535</v>
      </c>
      <c r="E69" s="523">
        <f>IFERROR(E68/D68-1,"")</f>
        <v>1.19298245614035</v>
      </c>
      <c r="F69" s="523">
        <f>IFERROR(F68/E68-1,"")</f>
        <v>0.854933333333333</v>
      </c>
      <c r="G69" s="523">
        <f>IFERROR(G68/F68-1,"")</f>
        <v>0.11644623346751</v>
      </c>
      <c r="H69" s="518">
        <f>CHOOSE(Assumptions!$D$18,H70,H71,H72)</f>
        <v>0.1</v>
      </c>
      <c r="I69" s="518">
        <f>CHOOSE(Assumptions!$D$18,I70,I71,I72)</f>
        <v>0.088</v>
      </c>
      <c r="J69" s="518">
        <f>CHOOSE(Assumptions!$D$18,J70,J71,J72)</f>
        <v>0.076</v>
      </c>
      <c r="K69" s="518">
        <f>CHOOSE(Assumptions!$D$18,K70,K71,K72)</f>
        <v>0.064</v>
      </c>
      <c r="L69" s="518">
        <f>CHOOSE(Assumptions!$D$18,L70,L71,L72)</f>
        <v>0.052</v>
      </c>
      <c r="M69" s="518">
        <f>CHOOSE(Assumptions!$D$18,M70,M71,M72)</f>
        <v>0.04</v>
      </c>
      <c r="N69" s="518">
        <f>CHOOSE(Assumptions!$D$18,N70,N71,N72)</f>
        <v>0.028</v>
      </c>
      <c r="O69" s="518">
        <f>CHOOSE(Assumptions!$D$18,O70,O71,O72)</f>
        <v>0.016</v>
      </c>
      <c r="P69" s="518">
        <f>CHOOSE(Assumptions!$D$18,P70,P71,P72)</f>
        <v>0.00400000000000002</v>
      </c>
      <c r="Q69" s="518">
        <f>CHOOSE(Assumptions!$D$18,Q70,Q71,Q72)</f>
        <v>-0.00799999999999998</v>
      </c>
    </row>
    <row r="70" ht="14.25" customHeight="1" spans="2:17">
      <c r="B70" s="522"/>
      <c r="C70" s="125"/>
      <c r="D70" s="125"/>
      <c r="E70" s="125"/>
      <c r="F70" s="125"/>
      <c r="G70" s="125"/>
      <c r="H70" s="516">
        <f t="shared" ref="H70:Q70" si="35">H71+0.05</f>
        <v>0.15</v>
      </c>
      <c r="I70" s="516">
        <f t="shared" si="35"/>
        <v>0.138</v>
      </c>
      <c r="J70" s="516">
        <f t="shared" si="35"/>
        <v>0.126</v>
      </c>
      <c r="K70" s="516">
        <f t="shared" si="35"/>
        <v>0.114</v>
      </c>
      <c r="L70" s="516">
        <f t="shared" si="35"/>
        <v>0.102</v>
      </c>
      <c r="M70" s="516">
        <f t="shared" si="35"/>
        <v>0.09</v>
      </c>
      <c r="N70" s="516">
        <f t="shared" si="35"/>
        <v>0.078</v>
      </c>
      <c r="O70" s="516">
        <f t="shared" si="35"/>
        <v>0.066</v>
      </c>
      <c r="P70" s="516">
        <f t="shared" si="35"/>
        <v>0.054</v>
      </c>
      <c r="Q70" s="516">
        <f t="shared" si="35"/>
        <v>0.042</v>
      </c>
    </row>
    <row r="71" ht="14.25" customHeight="1" spans="2:17">
      <c r="B71" s="522"/>
      <c r="C71" s="125"/>
      <c r="D71" s="125"/>
      <c r="E71" s="125"/>
      <c r="F71" s="125"/>
      <c r="G71" s="125"/>
      <c r="H71" s="519">
        <v>0.1</v>
      </c>
      <c r="I71" s="516">
        <f t="shared" ref="I71:Q71" si="36">H71-0.012</f>
        <v>0.088</v>
      </c>
      <c r="J71" s="516">
        <f t="shared" si="36"/>
        <v>0.076</v>
      </c>
      <c r="K71" s="516">
        <f t="shared" si="36"/>
        <v>0.064</v>
      </c>
      <c r="L71" s="516">
        <f t="shared" si="36"/>
        <v>0.052</v>
      </c>
      <c r="M71" s="516">
        <f t="shared" si="36"/>
        <v>0.04</v>
      </c>
      <c r="N71" s="516">
        <f t="shared" si="36"/>
        <v>0.028</v>
      </c>
      <c r="O71" s="516">
        <f t="shared" si="36"/>
        <v>0.016</v>
      </c>
      <c r="P71" s="516">
        <f t="shared" si="36"/>
        <v>0.00400000000000002</v>
      </c>
      <c r="Q71" s="516">
        <f t="shared" si="36"/>
        <v>-0.00799999999999998</v>
      </c>
    </row>
    <row r="72" ht="14.25" customHeight="1" spans="2:17">
      <c r="B72" s="522"/>
      <c r="C72" s="125"/>
      <c r="D72" s="125"/>
      <c r="E72" s="125"/>
      <c r="F72" s="125"/>
      <c r="G72" s="125"/>
      <c r="H72" s="516">
        <f t="shared" ref="H72:Q72" si="37">H71-0.05</f>
        <v>0.05</v>
      </c>
      <c r="I72" s="516">
        <f t="shared" si="37"/>
        <v>0.038</v>
      </c>
      <c r="J72" s="516">
        <f t="shared" si="37"/>
        <v>0.026</v>
      </c>
      <c r="K72" s="516">
        <f t="shared" si="37"/>
        <v>0.014</v>
      </c>
      <c r="L72" s="516">
        <f t="shared" si="37"/>
        <v>0.00200000000000002</v>
      </c>
      <c r="M72" s="516">
        <f t="shared" si="37"/>
        <v>-0.00999999999999998</v>
      </c>
      <c r="N72" s="516">
        <f t="shared" si="37"/>
        <v>-0.022</v>
      </c>
      <c r="O72" s="516">
        <f t="shared" si="37"/>
        <v>-0.034</v>
      </c>
      <c r="P72" s="516">
        <f t="shared" si="37"/>
        <v>-0.046</v>
      </c>
      <c r="Q72" s="516">
        <f t="shared" si="37"/>
        <v>-0.058</v>
      </c>
    </row>
    <row r="73" ht="14.25" customHeight="1" spans="2:17">
      <c r="B73" s="125"/>
      <c r="C73" s="125"/>
      <c r="D73" s="125"/>
      <c r="E73" s="125"/>
      <c r="F73" s="125"/>
      <c r="G73" s="125"/>
      <c r="H73" s="74"/>
      <c r="I73" s="74"/>
      <c r="J73" s="74"/>
      <c r="K73" s="74"/>
      <c r="L73" s="74"/>
      <c r="M73" s="74"/>
      <c r="N73" s="74"/>
      <c r="O73" s="74"/>
      <c r="P73" s="74"/>
      <c r="Q73" s="74"/>
    </row>
    <row r="74" ht="14.25" customHeight="1" spans="2:17">
      <c r="B74" s="497" t="s">
        <v>269</v>
      </c>
      <c r="C74" s="520">
        <f t="shared" ref="C74:Q74" si="38">C26+C32+C38+C44+C50+C56+C62+C68</f>
        <v>1206615</v>
      </c>
      <c r="D74" s="520">
        <f t="shared" si="38"/>
        <v>1441562</v>
      </c>
      <c r="E74" s="520">
        <f t="shared" si="38"/>
        <v>1556335</v>
      </c>
      <c r="F74" s="520">
        <f t="shared" si="38"/>
        <v>1849221</v>
      </c>
      <c r="G74" s="520">
        <f t="shared" si="38"/>
        <v>2348537</v>
      </c>
      <c r="H74" s="497">
        <f t="shared" si="38"/>
        <v>2668486.46734217</v>
      </c>
      <c r="I74" s="497">
        <f t="shared" si="38"/>
        <v>3004365.89781483</v>
      </c>
      <c r="J74" s="497">
        <f t="shared" si="38"/>
        <v>3351399.46321458</v>
      </c>
      <c r="K74" s="497">
        <f t="shared" si="38"/>
        <v>3703838.17678608</v>
      </c>
      <c r="L74" s="497">
        <f t="shared" si="38"/>
        <v>4055075.36102322</v>
      </c>
      <c r="M74" s="497">
        <f t="shared" si="38"/>
        <v>4397822.73567826</v>
      </c>
      <c r="N74" s="497">
        <f t="shared" si="38"/>
        <v>4724343.51817682</v>
      </c>
      <c r="O74" s="497">
        <f t="shared" si="38"/>
        <v>5026734.08649406</v>
      </c>
      <c r="P74" s="497">
        <f t="shared" si="38"/>
        <v>5297241.03130922</v>
      </c>
      <c r="Q74" s="497">
        <f t="shared" si="38"/>
        <v>5528596.31419872</v>
      </c>
    </row>
    <row r="75" ht="14.25" customHeight="1" spans="2:17">
      <c r="B75" s="501" t="s">
        <v>270</v>
      </c>
      <c r="C75" s="524">
        <v>41146</v>
      </c>
      <c r="D75" s="524">
        <v>50114</v>
      </c>
      <c r="E75" s="524">
        <v>56511</v>
      </c>
      <c r="F75" s="524">
        <v>119369</v>
      </c>
      <c r="G75" s="524">
        <v>238809</v>
      </c>
      <c r="H75" s="501">
        <f>AVERAGE(C75:G75)/AVERAGE(C74:G74)*H74</f>
        <v>160684.917250374</v>
      </c>
      <c r="I75" s="501">
        <f t="shared" ref="I75:Q75" si="39">H75/H74*I74</f>
        <v>180910.149475501</v>
      </c>
      <c r="J75" s="501">
        <f t="shared" si="39"/>
        <v>201807.036314466</v>
      </c>
      <c r="K75" s="501">
        <f t="shared" si="39"/>
        <v>223029.398211048</v>
      </c>
      <c r="L75" s="501">
        <f t="shared" si="39"/>
        <v>244179.409116148</v>
      </c>
      <c r="M75" s="501">
        <f t="shared" si="39"/>
        <v>264818.199759551</v>
      </c>
      <c r="N75" s="501">
        <f t="shared" si="39"/>
        <v>284479.893966516</v>
      </c>
      <c r="O75" s="501">
        <f t="shared" si="39"/>
        <v>302688.569199465</v>
      </c>
      <c r="P75" s="501">
        <f t="shared" si="39"/>
        <v>318977.348091631</v>
      </c>
      <c r="Q75" s="501">
        <f t="shared" si="39"/>
        <v>332908.580249448</v>
      </c>
    </row>
    <row r="76" ht="15" customHeight="1" spans="2:17">
      <c r="B76" s="525" t="s">
        <v>271</v>
      </c>
      <c r="C76" s="525">
        <f t="shared" ref="C76:Q76" si="40">C74-C75</f>
        <v>1165469</v>
      </c>
      <c r="D76" s="525">
        <f t="shared" si="40"/>
        <v>1391448</v>
      </c>
      <c r="E76" s="525">
        <f t="shared" si="40"/>
        <v>1499824</v>
      </c>
      <c r="F76" s="525">
        <f t="shared" si="40"/>
        <v>1729852</v>
      </c>
      <c r="G76" s="525">
        <f t="shared" si="40"/>
        <v>2109728</v>
      </c>
      <c r="H76" s="525">
        <f t="shared" si="40"/>
        <v>2507801.55009179</v>
      </c>
      <c r="I76" s="525">
        <f t="shared" si="40"/>
        <v>2823455.74833933</v>
      </c>
      <c r="J76" s="525">
        <f t="shared" si="40"/>
        <v>3149592.42690011</v>
      </c>
      <c r="K76" s="525">
        <f t="shared" si="40"/>
        <v>3480808.77857503</v>
      </c>
      <c r="L76" s="525">
        <f t="shared" si="40"/>
        <v>3810895.95190707</v>
      </c>
      <c r="M76" s="525">
        <f t="shared" si="40"/>
        <v>4133004.53591871</v>
      </c>
      <c r="N76" s="525">
        <f t="shared" si="40"/>
        <v>4439863.6242103</v>
      </c>
      <c r="O76" s="525">
        <f t="shared" si="40"/>
        <v>4724045.5172946</v>
      </c>
      <c r="P76" s="525">
        <f t="shared" si="40"/>
        <v>4978263.68321759</v>
      </c>
      <c r="Q76" s="525">
        <f t="shared" si="40"/>
        <v>5195687.73394927</v>
      </c>
    </row>
  </sheetData>
  <mergeCells count="3">
    <mergeCell ref="B6:Q6"/>
    <mergeCell ref="B7:B8"/>
    <mergeCell ref="A1:J4"/>
  </mergeCells>
  <pageMargins left="0.75" right="0.75" top="1" bottom="1" header="0.511811023622047" footer="0.511811023622047"/>
  <pageSetup paperSize="1" orientation="portrait"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Q59"/>
  <sheetViews>
    <sheetView showGridLines="0" workbookViewId="0">
      <pane xSplit="2" ySplit="9" topLeftCell="F23" activePane="bottomRight" state="frozen"/>
      <selection/>
      <selection pane="topRight"/>
      <selection pane="bottomLeft"/>
      <selection pane="bottomRight" activeCell="H34" sqref="H34"/>
    </sheetView>
  </sheetViews>
  <sheetFormatPr defaultColWidth="8.89814814814815" defaultRowHeight="14.4"/>
  <cols>
    <col min="1" max="1" width="2.55555555555556" style="1" customWidth="1"/>
    <col min="2" max="2" width="31.4444444444444" style="1" customWidth="1"/>
    <col min="3" max="17" width="15.4444444444444"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43" t="s">
        <v>272</v>
      </c>
      <c r="C7" s="343"/>
      <c r="D7" s="343"/>
      <c r="E7" s="343"/>
      <c r="F7" s="343"/>
      <c r="G7" s="343"/>
      <c r="H7" s="343"/>
      <c r="I7" s="343"/>
      <c r="J7" s="343"/>
      <c r="K7" s="343"/>
      <c r="L7" s="343"/>
      <c r="M7" s="343"/>
      <c r="N7" s="343"/>
      <c r="O7" s="343"/>
      <c r="P7" s="343"/>
      <c r="Q7" s="343"/>
    </row>
    <row r="8" ht="14.25" customHeight="1" spans="1:17">
      <c r="B8" s="440" t="s">
        <v>39</v>
      </c>
      <c r="C8" s="441">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7">
      <c r="B9" s="440"/>
      <c r="C9" s="442" t="s">
        <v>85</v>
      </c>
      <c r="D9" s="6" t="s">
        <v>85</v>
      </c>
      <c r="E9" s="6" t="s">
        <v>85</v>
      </c>
      <c r="F9" s="6" t="s">
        <v>85</v>
      </c>
      <c r="G9" s="6" t="s">
        <v>85</v>
      </c>
      <c r="H9" s="7" t="s">
        <v>254</v>
      </c>
      <c r="I9" s="7" t="s">
        <v>255</v>
      </c>
      <c r="J9" s="7" t="s">
        <v>255</v>
      </c>
      <c r="K9" s="7" t="s">
        <v>255</v>
      </c>
      <c r="L9" s="7" t="s">
        <v>255</v>
      </c>
      <c r="M9" s="7" t="s">
        <v>255</v>
      </c>
      <c r="N9" s="7" t="s">
        <v>255</v>
      </c>
      <c r="O9" s="7" t="s">
        <v>255</v>
      </c>
      <c r="P9" s="7" t="s">
        <v>255</v>
      </c>
      <c r="Q9" s="7" t="s">
        <v>255</v>
      </c>
    </row>
    <row r="10" ht="14.25" customHeight="1" spans="1:17">
      <c r="B10" s="8"/>
      <c r="C10" s="443"/>
      <c r="D10" s="8"/>
      <c r="E10" s="8"/>
      <c r="F10" s="8"/>
      <c r="G10" s="8"/>
      <c r="H10" s="9"/>
      <c r="I10" s="9"/>
      <c r="J10" s="9"/>
      <c r="K10" s="9"/>
      <c r="L10" s="9"/>
      <c r="M10" s="9"/>
      <c r="N10" s="9"/>
      <c r="O10" s="9"/>
      <c r="P10" s="9"/>
      <c r="Q10" s="9"/>
    </row>
    <row r="11" ht="14.25" customHeight="1" spans="1:17">
      <c r="B11" s="14" t="s">
        <v>259</v>
      </c>
      <c r="C11" s="444">
        <f>'Revenue Buildup'!C14</f>
        <v>1170812</v>
      </c>
      <c r="D11" s="445">
        <f>'Revenue Buildup'!D14</f>
        <v>1400814</v>
      </c>
      <c r="E11" s="445">
        <f>'Revenue Buildup'!E14</f>
        <v>1514178</v>
      </c>
      <c r="F11" s="445">
        <f>'Revenue Buildup'!F14</f>
        <v>1745589</v>
      </c>
      <c r="G11" s="445">
        <f>'Revenue Buildup'!G14</f>
        <v>2137901</v>
      </c>
      <c r="H11" s="445">
        <f>'Revenue Buildup'!H14</f>
        <v>2541290.36621915</v>
      </c>
      <c r="I11" s="445">
        <f>'Revenue Buildup'!I14</f>
        <v>2861159.7645907</v>
      </c>
      <c r="J11" s="445">
        <f>'Revenue Buildup'!J14</f>
        <v>3191651.62478868</v>
      </c>
      <c r="K11" s="445">
        <f>'Revenue Buildup'!K14</f>
        <v>3527290.99131468</v>
      </c>
      <c r="L11" s="445">
        <f>'Revenue Buildup'!L14</f>
        <v>3861786.1006149</v>
      </c>
      <c r="M11" s="445">
        <f>'Revenue Buildup'!M14</f>
        <v>4188196.07567665</v>
      </c>
      <c r="N11" s="445">
        <f>'Revenue Buildup'!N14</f>
        <v>4499152.9154767</v>
      </c>
      <c r="O11" s="445">
        <f>'Revenue Buildup'!O14</f>
        <v>4787129.73211222</v>
      </c>
      <c r="P11" s="445">
        <f>'Revenue Buildup'!P14</f>
        <v>5044742.69034423</v>
      </c>
      <c r="Q11" s="445">
        <f>'Revenue Buildup'!Q14</f>
        <v>5265070.19013725</v>
      </c>
    </row>
    <row r="12" ht="14.25" customHeight="1" spans="1:17">
      <c r="B12" s="14"/>
      <c r="C12" s="446"/>
      <c r="D12" s="447"/>
      <c r="E12" s="447"/>
      <c r="F12" s="447"/>
      <c r="G12" s="447"/>
      <c r="H12" s="406"/>
      <c r="I12" s="406"/>
      <c r="J12" s="406"/>
      <c r="K12" s="406"/>
      <c r="L12" s="406"/>
      <c r="M12" s="406"/>
      <c r="N12" s="406"/>
      <c r="O12" s="406"/>
      <c r="P12" s="406"/>
      <c r="Q12" s="406"/>
    </row>
    <row r="13" s="439" customFormat="1" ht="17.25" customHeight="1" spans="1:17">
      <c r="A13" s="448"/>
      <c r="B13" s="449" t="str">
        <f>'P&amp;L Input'!B17</f>
        <v>Network operating expenses</v>
      </c>
      <c r="C13" s="449">
        <f>'P&amp;L Input'!C17</f>
        <v>250205</v>
      </c>
      <c r="D13" s="449">
        <f>'P&amp;L Input'!D17</f>
        <v>285433</v>
      </c>
      <c r="E13" s="449">
        <f>'P&amp;L Input'!E17</f>
        <v>300188</v>
      </c>
      <c r="F13" s="449">
        <f>'P&amp;L Input'!F17</f>
        <v>335043</v>
      </c>
      <c r="G13" s="449">
        <f>'P&amp;L Input'!G17</f>
        <v>397500</v>
      </c>
      <c r="H13" s="450">
        <f t="shared" ref="H13:Q13" si="0">H11*H14</f>
        <v>504996.469897269</v>
      </c>
      <c r="I13" s="450">
        <f t="shared" si="0"/>
        <v>568559.815177689</v>
      </c>
      <c r="J13" s="450">
        <f t="shared" si="0"/>
        <v>634234.019490701</v>
      </c>
      <c r="K13" s="450">
        <f t="shared" si="0"/>
        <v>700931.11853427</v>
      </c>
      <c r="L13" s="450">
        <f t="shared" si="0"/>
        <v>767400.834722517</v>
      </c>
      <c r="M13" s="450">
        <f t="shared" si="0"/>
        <v>832263.900878421</v>
      </c>
      <c r="N13" s="450">
        <f t="shared" si="0"/>
        <v>894056.173212521</v>
      </c>
      <c r="O13" s="450">
        <f t="shared" si="0"/>
        <v>951281.934481805</v>
      </c>
      <c r="P13" s="450">
        <f t="shared" si="0"/>
        <v>1002473.89437599</v>
      </c>
      <c r="Q13" s="450">
        <f t="shared" si="0"/>
        <v>1046256.61637257</v>
      </c>
    </row>
    <row r="14" s="439" customFormat="1" ht="17.25" customHeight="1" spans="1:17">
      <c r="A14" s="448"/>
      <c r="B14" s="449"/>
      <c r="C14" s="451">
        <f>C13/C11</f>
        <v>0.213702114429985</v>
      </c>
      <c r="D14" s="451">
        <f>D13/D11</f>
        <v>0.203762241096962</v>
      </c>
      <c r="E14" s="451">
        <f>E13/E11</f>
        <v>0.198251460528419</v>
      </c>
      <c r="F14" s="451">
        <f>F13/F11</f>
        <v>0.191936933608083</v>
      </c>
      <c r="G14" s="451">
        <f>G13/G11</f>
        <v>0.185930031371892</v>
      </c>
      <c r="H14" s="452">
        <f>AVERAGE(C14:G14)</f>
        <v>0.198716556207068</v>
      </c>
      <c r="I14" s="452">
        <f t="shared" ref="I14:Q14" si="1">H14</f>
        <v>0.198716556207068</v>
      </c>
      <c r="J14" s="452">
        <f t="shared" si="1"/>
        <v>0.198716556207068</v>
      </c>
      <c r="K14" s="452">
        <f t="shared" si="1"/>
        <v>0.198716556207068</v>
      </c>
      <c r="L14" s="452">
        <f t="shared" si="1"/>
        <v>0.198716556207068</v>
      </c>
      <c r="M14" s="452">
        <f t="shared" si="1"/>
        <v>0.198716556207068</v>
      </c>
      <c r="N14" s="452">
        <f t="shared" si="1"/>
        <v>0.198716556207068</v>
      </c>
      <c r="O14" s="452">
        <f t="shared" si="1"/>
        <v>0.198716556207068</v>
      </c>
      <c r="P14" s="452">
        <f t="shared" si="1"/>
        <v>0.198716556207068</v>
      </c>
      <c r="Q14" s="452">
        <f t="shared" si="1"/>
        <v>0.198716556207068</v>
      </c>
    </row>
    <row r="15" s="439" customFormat="1" ht="17.25" customHeight="1" spans="1:17">
      <c r="A15" s="448"/>
      <c r="B15" s="449"/>
      <c r="C15" s="453"/>
      <c r="D15" s="454"/>
      <c r="E15" s="454"/>
      <c r="F15" s="454"/>
      <c r="G15" s="454"/>
      <c r="H15" s="455"/>
      <c r="I15" s="455"/>
      <c r="J15" s="455"/>
      <c r="K15" s="455"/>
      <c r="L15" s="455"/>
      <c r="M15" s="455"/>
      <c r="N15" s="455"/>
      <c r="O15" s="455"/>
      <c r="P15" s="455"/>
      <c r="Q15" s="455"/>
    </row>
    <row r="16" s="439" customFormat="1" ht="14.25" customHeight="1" spans="1:17">
      <c r="A16" s="448"/>
      <c r="B16" s="449" t="str">
        <f>'P&amp;L Input'!B18</f>
        <v>Access charges</v>
      </c>
      <c r="C16" s="449">
        <f>'P&amp;L Input'!C18</f>
        <v>67611</v>
      </c>
      <c r="D16" s="449">
        <f>'P&amp;L Input'!D18</f>
        <v>76207</v>
      </c>
      <c r="E16" s="449">
        <f>'P&amp;L Input'!E18</f>
        <v>75185</v>
      </c>
      <c r="F16" s="449">
        <f>'P&amp;L Input'!F18</f>
        <v>71713</v>
      </c>
      <c r="G16" s="449">
        <f>'P&amp;L Input'!G18</f>
        <v>55416</v>
      </c>
      <c r="H16" s="450">
        <f t="shared" ref="H16:Q16" si="2">H17*H11</f>
        <v>116292.601314578</v>
      </c>
      <c r="I16" s="450">
        <f t="shared" si="2"/>
        <v>130930.221994225</v>
      </c>
      <c r="J16" s="450">
        <f t="shared" si="2"/>
        <v>146053.939711259</v>
      </c>
      <c r="K16" s="450">
        <f t="shared" si="2"/>
        <v>161413.21370676</v>
      </c>
      <c r="L16" s="450">
        <f t="shared" si="2"/>
        <v>176720.125071398</v>
      </c>
      <c r="M16" s="450">
        <f t="shared" si="2"/>
        <v>191657.050658312</v>
      </c>
      <c r="N16" s="450">
        <f t="shared" si="2"/>
        <v>205886.821595786</v>
      </c>
      <c r="O16" s="450">
        <f t="shared" si="2"/>
        <v>219064.99815129</v>
      </c>
      <c r="P16" s="450">
        <f t="shared" si="2"/>
        <v>230853.686859742</v>
      </c>
      <c r="Q16" s="450">
        <f t="shared" si="2"/>
        <v>240936.146712681</v>
      </c>
    </row>
    <row r="17" s="439" customFormat="1" ht="14.25" customHeight="1" spans="1:17">
      <c r="A17" s="448"/>
      <c r="B17" s="449"/>
      <c r="C17" s="456">
        <f>C16/C11</f>
        <v>0.0577471020112537</v>
      </c>
      <c r="D17" s="456">
        <f>D16/D11</f>
        <v>0.0544019405859736</v>
      </c>
      <c r="E17" s="456">
        <f>E16/E11</f>
        <v>0.0496540036904512</v>
      </c>
      <c r="F17" s="456">
        <f>F16/F11</f>
        <v>0.0410824082874033</v>
      </c>
      <c r="G17" s="456">
        <f>G16/G11</f>
        <v>0.0259207512415215</v>
      </c>
      <c r="H17" s="457">
        <f>AVERAGE(C17:G17)</f>
        <v>0.0457612411633207</v>
      </c>
      <c r="I17" s="457">
        <f t="shared" ref="I17:Q17" si="3">H17</f>
        <v>0.0457612411633207</v>
      </c>
      <c r="J17" s="457">
        <f t="shared" si="3"/>
        <v>0.0457612411633207</v>
      </c>
      <c r="K17" s="457">
        <f t="shared" si="3"/>
        <v>0.0457612411633207</v>
      </c>
      <c r="L17" s="457">
        <f t="shared" si="3"/>
        <v>0.0457612411633207</v>
      </c>
      <c r="M17" s="457">
        <f t="shared" si="3"/>
        <v>0.0457612411633207</v>
      </c>
      <c r="N17" s="457">
        <f t="shared" si="3"/>
        <v>0.0457612411633207</v>
      </c>
      <c r="O17" s="457">
        <f t="shared" si="3"/>
        <v>0.0457612411633207</v>
      </c>
      <c r="P17" s="457">
        <f t="shared" si="3"/>
        <v>0.0457612411633207</v>
      </c>
      <c r="Q17" s="457">
        <f t="shared" si="3"/>
        <v>0.0457612411633207</v>
      </c>
    </row>
    <row r="18" s="439" customFormat="1" ht="14.25" customHeight="1" spans="1:17">
      <c r="A18" s="448"/>
      <c r="B18" s="449"/>
      <c r="C18" s="458"/>
      <c r="D18" s="456"/>
      <c r="E18" s="456"/>
      <c r="F18" s="456"/>
      <c r="G18" s="456"/>
      <c r="H18" s="459"/>
      <c r="I18" s="459"/>
      <c r="J18" s="459"/>
      <c r="K18" s="459"/>
      <c r="L18" s="459"/>
      <c r="M18" s="459"/>
      <c r="N18" s="459"/>
      <c r="O18" s="459"/>
      <c r="P18" s="459"/>
      <c r="Q18" s="459"/>
    </row>
    <row r="19" s="439" customFormat="1" ht="14.25" customHeight="1" spans="1:17">
      <c r="A19" s="448"/>
      <c r="B19" s="449" t="str">
        <f>'P&amp;L Input'!B19</f>
        <v>License fee / Spectrum charges</v>
      </c>
      <c r="C19" s="449">
        <f>'P&amp;L Input'!C19</f>
        <v>110636</v>
      </c>
      <c r="D19" s="449">
        <f>'P&amp;L Input'!D19</f>
        <v>117517</v>
      </c>
      <c r="E19" s="449">
        <f>'P&amp;L Input'!E19</f>
        <v>120358</v>
      </c>
      <c r="F19" s="449">
        <f>'P&amp;L Input'!F19</f>
        <v>138290</v>
      </c>
      <c r="G19" s="449">
        <f>'P&amp;L Input'!G19</f>
        <v>153729</v>
      </c>
      <c r="H19" s="450">
        <f t="shared" ref="H19:Q19" si="4">H11*H20</f>
        <v>207879.303041297</v>
      </c>
      <c r="I19" s="450">
        <f t="shared" si="4"/>
        <v>234044.840235162</v>
      </c>
      <c r="J19" s="450">
        <f t="shared" si="4"/>
        <v>261079.302125871</v>
      </c>
      <c r="K19" s="450">
        <f t="shared" si="4"/>
        <v>288534.833581119</v>
      </c>
      <c r="L19" s="450">
        <f t="shared" si="4"/>
        <v>315896.764006844</v>
      </c>
      <c r="M19" s="450">
        <f t="shared" si="4"/>
        <v>342597.324880772</v>
      </c>
      <c r="N19" s="450">
        <f t="shared" si="4"/>
        <v>368033.80864226</v>
      </c>
      <c r="O19" s="450">
        <f t="shared" si="4"/>
        <v>391590.510674428</v>
      </c>
      <c r="P19" s="450">
        <f t="shared" si="4"/>
        <v>412663.428166872</v>
      </c>
      <c r="Q19" s="450">
        <f t="shared" si="4"/>
        <v>430686.369467336</v>
      </c>
    </row>
    <row r="20" s="439" customFormat="1" ht="14.25" customHeight="1" spans="1:17">
      <c r="A20" s="448"/>
      <c r="B20" s="449"/>
      <c r="C20" s="460">
        <f>C19/C11</f>
        <v>0.0944951025442172</v>
      </c>
      <c r="D20" s="460">
        <f>D19/D11</f>
        <v>0.0838919371165622</v>
      </c>
      <c r="E20" s="460">
        <f>E19/E11</f>
        <v>0.0794873522135442</v>
      </c>
      <c r="F20" s="460">
        <f>F19/F11</f>
        <v>0.0792225432218008</v>
      </c>
      <c r="G20" s="460">
        <f>G19/G11</f>
        <v>0.0719065101704897</v>
      </c>
      <c r="H20" s="457">
        <f>AVERAGE(C20:G20)</f>
        <v>0.0818006890533228</v>
      </c>
      <c r="I20" s="452">
        <f t="shared" ref="I20:Q20" si="5">H20</f>
        <v>0.0818006890533228</v>
      </c>
      <c r="J20" s="452">
        <f t="shared" si="5"/>
        <v>0.0818006890533228</v>
      </c>
      <c r="K20" s="452">
        <f t="shared" si="5"/>
        <v>0.0818006890533228</v>
      </c>
      <c r="L20" s="452">
        <f t="shared" si="5"/>
        <v>0.0818006890533228</v>
      </c>
      <c r="M20" s="452">
        <f t="shared" si="5"/>
        <v>0.0818006890533228</v>
      </c>
      <c r="N20" s="452">
        <f t="shared" si="5"/>
        <v>0.0818006890533228</v>
      </c>
      <c r="O20" s="452">
        <f t="shared" si="5"/>
        <v>0.0818006890533228</v>
      </c>
      <c r="P20" s="452">
        <f t="shared" si="5"/>
        <v>0.0818006890533228</v>
      </c>
      <c r="Q20" s="452">
        <f t="shared" si="5"/>
        <v>0.0818006890533228</v>
      </c>
    </row>
    <row r="21" s="439" customFormat="1" ht="14.25" customHeight="1" spans="1:17">
      <c r="A21" s="448"/>
      <c r="B21" s="449"/>
      <c r="C21" s="453"/>
      <c r="D21" s="454"/>
      <c r="E21" s="454"/>
      <c r="F21" s="454"/>
      <c r="G21" s="454"/>
      <c r="H21" s="455"/>
      <c r="I21" s="455"/>
      <c r="J21" s="455"/>
      <c r="K21" s="455"/>
      <c r="L21" s="455"/>
      <c r="M21" s="455"/>
      <c r="N21" s="455"/>
      <c r="O21" s="455"/>
      <c r="P21" s="455"/>
      <c r="Q21" s="455"/>
    </row>
    <row r="22" s="439" customFormat="1" ht="18" customHeight="1" spans="1:17">
      <c r="A22" s="448"/>
      <c r="B22" s="449" t="str">
        <f>'P&amp;L Input'!B20</f>
        <v>Employee benefits expense</v>
      </c>
      <c r="C22" s="449">
        <f>'P&amp;L Input'!C20</f>
        <v>44333</v>
      </c>
      <c r="D22" s="449">
        <f>'P&amp;L Input'!D20</f>
        <v>48308</v>
      </c>
      <c r="E22" s="449">
        <f>'P&amp;L Input'!E20</f>
        <v>53231</v>
      </c>
      <c r="F22" s="449">
        <f>'P&amp;L Input'!F20</f>
        <v>63089</v>
      </c>
      <c r="G22" s="449">
        <f>'P&amp;L Input'!G20</f>
        <v>75813</v>
      </c>
      <c r="H22" s="450">
        <f t="shared" ref="H22:Q22" si="6">H11*H23</f>
        <v>91033.7264344609</v>
      </c>
      <c r="I22" s="450">
        <f t="shared" si="6"/>
        <v>102492.040562269</v>
      </c>
      <c r="J22" s="450">
        <f t="shared" si="6"/>
        <v>114330.870941514</v>
      </c>
      <c r="K22" s="450">
        <f t="shared" si="6"/>
        <v>126354.09452868</v>
      </c>
      <c r="L22" s="450">
        <f t="shared" si="6"/>
        <v>138336.328703284</v>
      </c>
      <c r="M22" s="450">
        <f t="shared" si="6"/>
        <v>150028.938398829</v>
      </c>
      <c r="N22" s="450">
        <f t="shared" si="6"/>
        <v>161167.988175891</v>
      </c>
      <c r="O22" s="450">
        <f t="shared" si="6"/>
        <v>171483.850972816</v>
      </c>
      <c r="P22" s="450">
        <f t="shared" si="6"/>
        <v>180712.024139252</v>
      </c>
      <c r="Q22" s="450">
        <f t="shared" si="6"/>
        <v>188604.56314572</v>
      </c>
    </row>
    <row r="23" s="439" customFormat="1" ht="18" customHeight="1" spans="1:17">
      <c r="A23" s="448"/>
      <c r="B23" s="449"/>
      <c r="C23" s="460">
        <f>C22/C11</f>
        <v>0.0378651739134891</v>
      </c>
      <c r="D23" s="460">
        <f>D22/D11</f>
        <v>0.0344856633357462</v>
      </c>
      <c r="E23" s="460">
        <f>E22/E11</f>
        <v>0.0351550478213262</v>
      </c>
      <c r="F23" s="460">
        <f>F22/F11</f>
        <v>0.0361419555233219</v>
      </c>
      <c r="G23" s="460">
        <f>G22/G11</f>
        <v>0.0354614175305592</v>
      </c>
      <c r="H23" s="457">
        <f>AVERAGE(C23:G23)</f>
        <v>0.0358218516248885</v>
      </c>
      <c r="I23" s="457">
        <f t="shared" ref="I23:Q23" si="7">H23</f>
        <v>0.0358218516248885</v>
      </c>
      <c r="J23" s="457">
        <f t="shared" si="7"/>
        <v>0.0358218516248885</v>
      </c>
      <c r="K23" s="457">
        <f t="shared" si="7"/>
        <v>0.0358218516248885</v>
      </c>
      <c r="L23" s="457">
        <f t="shared" si="7"/>
        <v>0.0358218516248885</v>
      </c>
      <c r="M23" s="457">
        <f t="shared" si="7"/>
        <v>0.0358218516248885</v>
      </c>
      <c r="N23" s="457">
        <f t="shared" si="7"/>
        <v>0.0358218516248885</v>
      </c>
      <c r="O23" s="457">
        <f t="shared" si="7"/>
        <v>0.0358218516248885</v>
      </c>
      <c r="P23" s="457">
        <f t="shared" si="7"/>
        <v>0.0358218516248885</v>
      </c>
      <c r="Q23" s="457">
        <f t="shared" si="7"/>
        <v>0.0358218516248885</v>
      </c>
    </row>
    <row r="24" s="439" customFormat="1" ht="18" customHeight="1" spans="1:17">
      <c r="A24" s="448"/>
      <c r="B24" s="449"/>
      <c r="C24" s="453"/>
      <c r="D24" s="454"/>
      <c r="E24" s="454"/>
      <c r="F24" s="454"/>
      <c r="G24" s="454"/>
      <c r="H24" s="461"/>
      <c r="I24" s="461"/>
      <c r="J24" s="461"/>
      <c r="K24" s="461"/>
      <c r="L24" s="461"/>
      <c r="M24" s="461"/>
      <c r="N24" s="461"/>
      <c r="O24" s="461"/>
      <c r="P24" s="461"/>
      <c r="Q24" s="461"/>
    </row>
    <row r="25" s="439" customFormat="1" ht="14.25" customHeight="1" spans="1:17">
      <c r="A25" s="448"/>
      <c r="B25" s="449" t="str">
        <f>'P&amp;L Input'!B21</f>
        <v>Sales and marketing expenses</v>
      </c>
      <c r="C25" s="449">
        <f>'P&amp;L Input'!C21</f>
        <v>53035</v>
      </c>
      <c r="D25" s="449">
        <f>'P&amp;L Input'!D21</f>
        <v>72454</v>
      </c>
      <c r="E25" s="449">
        <f>'P&amp;L Input'!E21</f>
        <v>107882</v>
      </c>
      <c r="F25" s="449">
        <f>'P&amp;L Input'!F21</f>
        <v>114601</v>
      </c>
      <c r="G25" s="449">
        <f>'P&amp;L Input'!G21</f>
        <v>131073</v>
      </c>
      <c r="H25" s="450">
        <f t="shared" ref="H25:Q25" si="8">H11*H26</f>
        <v>150052.660152328</v>
      </c>
      <c r="I25" s="450">
        <f t="shared" si="8"/>
        <v>168939.621974949</v>
      </c>
      <c r="J25" s="450">
        <f t="shared" si="8"/>
        <v>188453.796128601</v>
      </c>
      <c r="K25" s="450">
        <f t="shared" si="8"/>
        <v>208271.909189801</v>
      </c>
      <c r="L25" s="450">
        <f t="shared" si="8"/>
        <v>228022.458605811</v>
      </c>
      <c r="M25" s="450">
        <f t="shared" si="8"/>
        <v>247295.614365315</v>
      </c>
      <c r="N25" s="450">
        <f t="shared" si="8"/>
        <v>265656.326554996</v>
      </c>
      <c r="O25" s="450">
        <f t="shared" si="8"/>
        <v>282660.163650026</v>
      </c>
      <c r="P25" s="450">
        <f t="shared" si="8"/>
        <v>297871.140792294</v>
      </c>
      <c r="Q25" s="450">
        <f t="shared" si="8"/>
        <v>310880.566196066</v>
      </c>
    </row>
    <row r="26" s="439" customFormat="1" ht="14.25" customHeight="1" spans="1:17">
      <c r="A26" s="448"/>
      <c r="B26" s="449"/>
      <c r="C26" s="456">
        <f>C25/C11</f>
        <v>0.0452976225047232</v>
      </c>
      <c r="D26" s="456">
        <f>D25/D11</f>
        <v>0.0517227840384234</v>
      </c>
      <c r="E26" s="456">
        <f>E25/E11</f>
        <v>0.0712478981995512</v>
      </c>
      <c r="F26" s="456">
        <f>F25/F11</f>
        <v>0.0656517656790917</v>
      </c>
      <c r="G26" s="456">
        <f>G25/G11</f>
        <v>0.0613092000050517</v>
      </c>
      <c r="H26" s="457">
        <f>AVERAGE(C26:G26)</f>
        <v>0.0590458540853682</v>
      </c>
      <c r="I26" s="452">
        <f t="shared" ref="I26:Q26" si="9">H26</f>
        <v>0.0590458540853682</v>
      </c>
      <c r="J26" s="452">
        <f t="shared" si="9"/>
        <v>0.0590458540853682</v>
      </c>
      <c r="K26" s="452">
        <f t="shared" si="9"/>
        <v>0.0590458540853682</v>
      </c>
      <c r="L26" s="452">
        <f t="shared" si="9"/>
        <v>0.0590458540853682</v>
      </c>
      <c r="M26" s="452">
        <f t="shared" si="9"/>
        <v>0.0590458540853682</v>
      </c>
      <c r="N26" s="452">
        <f t="shared" si="9"/>
        <v>0.0590458540853682</v>
      </c>
      <c r="O26" s="452">
        <f t="shared" si="9"/>
        <v>0.0590458540853682</v>
      </c>
      <c r="P26" s="452">
        <f t="shared" si="9"/>
        <v>0.0590458540853682</v>
      </c>
      <c r="Q26" s="452">
        <f t="shared" si="9"/>
        <v>0.0590458540853682</v>
      </c>
    </row>
    <row r="27" s="439" customFormat="1" ht="14.25" customHeight="1" spans="1:17">
      <c r="A27" s="448"/>
      <c r="B27" s="449"/>
      <c r="C27" s="458"/>
      <c r="D27" s="456"/>
      <c r="E27" s="456"/>
      <c r="F27" s="456"/>
      <c r="G27" s="456"/>
      <c r="H27" s="459"/>
      <c r="I27" s="459"/>
      <c r="J27" s="459"/>
      <c r="K27" s="459"/>
      <c r="L27" s="459"/>
      <c r="M27" s="459"/>
      <c r="N27" s="459"/>
      <c r="O27" s="459"/>
      <c r="P27" s="459"/>
      <c r="Q27" s="459"/>
    </row>
    <row r="28" s="439" customFormat="1" ht="14.25" customHeight="1" spans="1:17">
      <c r="A28" s="448"/>
      <c r="B28" s="449" t="str">
        <f>'P&amp;L Input'!B22</f>
        <v>Other expenses</v>
      </c>
      <c r="C28" s="449">
        <f>'P&amp;L Input'!C22</f>
        <v>64310</v>
      </c>
      <c r="D28" s="449">
        <f>'P&amp;L Input'!D22</f>
        <v>78794</v>
      </c>
      <c r="E28" s="449">
        <f>'P&amp;L Input'!E22</f>
        <v>60062</v>
      </c>
      <c r="F28" s="449">
        <f>'P&amp;L Input'!F22</f>
        <v>75524</v>
      </c>
      <c r="G28" s="449">
        <f>'P&amp;L Input'!G22</f>
        <v>99452</v>
      </c>
      <c r="H28" s="450">
        <f t="shared" ref="H28:Q28" si="10">H11*H29</f>
        <v>122300.600971654</v>
      </c>
      <c r="I28" s="450">
        <f t="shared" si="10"/>
        <v>137694.441901167</v>
      </c>
      <c r="J28" s="450">
        <f t="shared" si="10"/>
        <v>153599.492994792</v>
      </c>
      <c r="K28" s="450">
        <f t="shared" si="10"/>
        <v>169752.26986025</v>
      </c>
      <c r="L28" s="450">
        <f t="shared" si="10"/>
        <v>185849.978895506</v>
      </c>
      <c r="M28" s="450">
        <f t="shared" si="10"/>
        <v>201558.587657355</v>
      </c>
      <c r="N28" s="450">
        <f t="shared" si="10"/>
        <v>216523.50819116</v>
      </c>
      <c r="O28" s="450">
        <f t="shared" si="10"/>
        <v>230382.506048546</v>
      </c>
      <c r="P28" s="450">
        <f t="shared" si="10"/>
        <v>242780.231246999</v>
      </c>
      <c r="Q28" s="450">
        <f t="shared" si="10"/>
        <v>253383.579055442</v>
      </c>
    </row>
    <row r="29" s="439" customFormat="1" ht="14.25" customHeight="1" spans="1:17">
      <c r="A29" s="448"/>
      <c r="B29" s="462"/>
      <c r="C29" s="460">
        <f>C28/C11</f>
        <v>0.0549276912091779</v>
      </c>
      <c r="D29" s="460">
        <f>D28/D11</f>
        <v>0.056248723956214</v>
      </c>
      <c r="E29" s="460">
        <f>E28/E11</f>
        <v>0.0396664064594783</v>
      </c>
      <c r="F29" s="460">
        <f>F28/F11</f>
        <v>0.0432656255281169</v>
      </c>
      <c r="G29" s="460">
        <f>G28/G11</f>
        <v>0.046518524477981</v>
      </c>
      <c r="H29" s="457">
        <f>AVERAGE(C29:G29)</f>
        <v>0.0481253943261936</v>
      </c>
      <c r="I29" s="452">
        <f t="shared" ref="I29:Q29" si="11">H29</f>
        <v>0.0481253943261936</v>
      </c>
      <c r="J29" s="452">
        <f t="shared" si="11"/>
        <v>0.0481253943261936</v>
      </c>
      <c r="K29" s="452">
        <f t="shared" si="11"/>
        <v>0.0481253943261936</v>
      </c>
      <c r="L29" s="452">
        <f t="shared" si="11"/>
        <v>0.0481253943261936</v>
      </c>
      <c r="M29" s="452">
        <f t="shared" si="11"/>
        <v>0.0481253943261936</v>
      </c>
      <c r="N29" s="452">
        <f t="shared" si="11"/>
        <v>0.0481253943261936</v>
      </c>
      <c r="O29" s="452">
        <f t="shared" si="11"/>
        <v>0.0481253943261936</v>
      </c>
      <c r="P29" s="452">
        <f t="shared" si="11"/>
        <v>0.0481253943261936</v>
      </c>
      <c r="Q29" s="452">
        <f t="shared" si="11"/>
        <v>0.0481253943261936</v>
      </c>
    </row>
    <row r="30" s="439" customFormat="1" ht="14.25" customHeight="1" spans="1:17">
      <c r="A30" s="448"/>
      <c r="B30" s="462"/>
      <c r="C30" s="454"/>
      <c r="D30" s="454"/>
      <c r="E30" s="454"/>
      <c r="F30" s="454"/>
      <c r="G30" s="454"/>
      <c r="H30" s="463"/>
      <c r="I30" s="463"/>
      <c r="J30" s="463"/>
      <c r="K30" s="463"/>
      <c r="L30" s="463"/>
      <c r="M30" s="463"/>
      <c r="N30" s="463"/>
      <c r="O30" s="463"/>
      <c r="P30" s="463"/>
      <c r="Q30" s="463"/>
    </row>
    <row r="31" s="439" customFormat="1" ht="14.25" customHeight="1" spans="1:17">
      <c r="A31" s="448"/>
      <c r="B31" s="462" t="str">
        <f>'P&amp;L Input'!B32</f>
        <v>Finance Costs</v>
      </c>
      <c r="C31" s="454">
        <f>'P&amp;L Input'!C32</f>
        <v>166162</v>
      </c>
      <c r="D31" s="454">
        <f>'P&amp;L Input'!D32</f>
        <v>192999</v>
      </c>
      <c r="E31" s="454">
        <f>'P&amp;L Input'!E32</f>
        <v>226477</v>
      </c>
      <c r="F31" s="454">
        <f>'P&amp;L Input'!F32</f>
        <v>217539</v>
      </c>
      <c r="G31" s="454">
        <f>'P&amp;L Input'!G32</f>
        <v>215553</v>
      </c>
      <c r="H31" s="450">
        <f t="shared" ref="H31:Q31" si="12">H32*H11</f>
        <v>332763.810795288</v>
      </c>
      <c r="I31" s="450">
        <f t="shared" si="12"/>
        <v>374648.422398043</v>
      </c>
      <c r="J31" s="450">
        <f t="shared" si="12"/>
        <v>417923.969457989</v>
      </c>
      <c r="K31" s="450">
        <f t="shared" si="12"/>
        <v>461873.545682242</v>
      </c>
      <c r="L31" s="450">
        <f t="shared" si="12"/>
        <v>505673.289600813</v>
      </c>
      <c r="M31" s="450">
        <f t="shared" si="12"/>
        <v>548414.342975495</v>
      </c>
      <c r="N31" s="450">
        <f t="shared" si="12"/>
        <v>589131.918731576</v>
      </c>
      <c r="O31" s="450">
        <f t="shared" si="12"/>
        <v>626840.424693018</v>
      </c>
      <c r="P31" s="450">
        <f t="shared" si="12"/>
        <v>660573.000407721</v>
      </c>
      <c r="Q31" s="450">
        <f t="shared" si="12"/>
        <v>689423.311819872</v>
      </c>
    </row>
    <row r="32" s="439" customFormat="1" ht="14.25" customHeight="1" spans="1:17">
      <c r="A32" s="448"/>
      <c r="B32" s="462"/>
      <c r="C32" s="456">
        <f>C31/C11</f>
        <v>0.141920308298856</v>
      </c>
      <c r="D32" s="456">
        <f>D31/D11</f>
        <v>0.137776321481653</v>
      </c>
      <c r="E32" s="456">
        <f>E31/E11</f>
        <v>0.149570922309002</v>
      </c>
      <c r="F32" s="456">
        <f>F31/F11</f>
        <v>0.124622118952399</v>
      </c>
      <c r="G32" s="456">
        <f>G31/G11</f>
        <v>0.100824593842278</v>
      </c>
      <c r="H32" s="457">
        <f>AVERAGE(C32:G32)</f>
        <v>0.130942852976838</v>
      </c>
      <c r="I32" s="452">
        <f t="shared" ref="I32:Q32" si="13">H32</f>
        <v>0.130942852976838</v>
      </c>
      <c r="J32" s="452">
        <f t="shared" si="13"/>
        <v>0.130942852976838</v>
      </c>
      <c r="K32" s="452">
        <f t="shared" si="13"/>
        <v>0.130942852976838</v>
      </c>
      <c r="L32" s="452">
        <f t="shared" si="13"/>
        <v>0.130942852976838</v>
      </c>
      <c r="M32" s="452">
        <f t="shared" si="13"/>
        <v>0.130942852976838</v>
      </c>
      <c r="N32" s="452">
        <f t="shared" si="13"/>
        <v>0.130942852976838</v>
      </c>
      <c r="O32" s="452">
        <f t="shared" si="13"/>
        <v>0.130942852976838</v>
      </c>
      <c r="P32" s="452">
        <f t="shared" si="13"/>
        <v>0.130942852976838</v>
      </c>
      <c r="Q32" s="452">
        <f t="shared" si="13"/>
        <v>0.130942852976838</v>
      </c>
    </row>
    <row r="33" ht="14.25" customHeight="1" spans="1:17">
      <c r="C33" s="264"/>
    </row>
    <row r="34" ht="15" customHeight="1" spans="1:17">
      <c r="B34" s="125" t="s">
        <v>273</v>
      </c>
      <c r="C34" s="464">
        <f>'P&amp;L Input'!C41/'P&amp;L Input'!C39</f>
        <v>0.334684493435124</v>
      </c>
      <c r="D34" s="464">
        <f>'P&amp;L Input'!D41/'P&amp;L Input'!D39</f>
        <v>0.258038609479068</v>
      </c>
      <c r="E34" s="464">
        <f>'P&amp;L Input'!E41/'P&amp;L Input'!E39</f>
        <v>0.325025632936351</v>
      </c>
      <c r="F34" s="464">
        <f>'P&amp;L Input'!F41/'P&amp;L Input'!F39</f>
        <v>0.0238863497272029</v>
      </c>
      <c r="G34" s="464">
        <f>'P&amp;L Input'!G41/'P&amp;L Input'!G39</f>
        <v>0.251255736318617</v>
      </c>
      <c r="H34" s="465">
        <f>G34+0.5%</f>
        <v>0.256255736318617</v>
      </c>
      <c r="I34" s="466">
        <f>H34</f>
        <v>0.256255736318617</v>
      </c>
      <c r="J34" s="466">
        <f>I34+0.5%</f>
        <v>0.261255736318617</v>
      </c>
      <c r="K34" s="466">
        <f>J34</f>
        <v>0.261255736318617</v>
      </c>
      <c r="L34" s="466">
        <f>K34+0.5%</f>
        <v>0.266255736318617</v>
      </c>
      <c r="M34" s="466">
        <f>L34</f>
        <v>0.266255736318617</v>
      </c>
      <c r="N34" s="466">
        <f>M34+0.5%</f>
        <v>0.271255736318617</v>
      </c>
      <c r="O34" s="466">
        <f>N34</f>
        <v>0.271255736318617</v>
      </c>
      <c r="P34" s="466">
        <f>O34+0.5%</f>
        <v>0.276255736318617</v>
      </c>
      <c r="Q34" s="466">
        <f>P34</f>
        <v>0.276255736318617</v>
      </c>
    </row>
    <row r="35" ht="14.25" customHeight="1" spans="1:17">
      <c r="C35" s="264"/>
      <c r="H35" s="467"/>
      <c r="I35" s="467"/>
      <c r="J35" s="467"/>
      <c r="K35" s="467"/>
      <c r="L35" s="467"/>
      <c r="M35" s="467"/>
      <c r="N35" s="467"/>
      <c r="O35" s="467"/>
      <c r="P35" s="467"/>
      <c r="Q35" s="467"/>
    </row>
    <row r="36" ht="14.25" customHeight="1" spans="1:17">
      <c r="C36" s="264"/>
    </row>
    <row r="37" ht="15" customHeight="1" spans="1:17">
      <c r="A37" s="468"/>
      <c r="B37" s="468"/>
      <c r="C37" s="469"/>
      <c r="D37" s="470"/>
      <c r="E37" s="470"/>
      <c r="F37" s="470"/>
      <c r="G37" s="470"/>
      <c r="H37" s="470"/>
      <c r="I37" s="470"/>
      <c r="J37" s="470"/>
      <c r="K37" s="470"/>
      <c r="L37" s="470"/>
      <c r="M37" s="470"/>
      <c r="N37" s="470"/>
      <c r="O37" s="470"/>
      <c r="P37" s="470"/>
      <c r="Q37" s="470"/>
    </row>
    <row r="38" ht="14.25" customHeight="1" spans="1:17">
      <c r="C38" s="264"/>
    </row>
    <row r="39" ht="14.25" customHeight="1" spans="1:17">
      <c r="C39" s="264"/>
    </row>
    <row r="40" ht="14.25" customHeight="1" spans="1:17">
      <c r="C40" s="264"/>
    </row>
    <row r="41" ht="14.25" customHeight="1" spans="1:17">
      <c r="C41" s="264"/>
    </row>
    <row r="42" ht="14.25" customHeight="1" spans="1:17">
      <c r="C42" s="264"/>
    </row>
    <row r="43" ht="14.25" customHeight="1" spans="1:17">
      <c r="C43" s="264"/>
    </row>
    <row r="44" ht="14.25" customHeight="1" spans="1:17">
      <c r="C44" s="264"/>
    </row>
    <row r="45" ht="14.25" customHeight="1" spans="1:17">
      <c r="C45" s="264"/>
    </row>
    <row r="46" ht="14.25" customHeight="1" spans="1:17">
      <c r="C46" s="264"/>
    </row>
    <row r="47" ht="14.25" customHeight="1" spans="1:17">
      <c r="C47" s="264"/>
    </row>
    <row r="48" ht="14.25" customHeight="1" spans="1:17">
      <c r="C48" s="264"/>
    </row>
    <row r="49" ht="14.25" customHeight="1" spans="3:3">
      <c r="C49" s="264"/>
    </row>
    <row r="50" ht="14.25" customHeight="1" spans="3:3">
      <c r="C50" s="264"/>
    </row>
    <row r="51" ht="14.25" customHeight="1" spans="3:3">
      <c r="C51" s="264"/>
    </row>
    <row r="52" ht="14.25" customHeight="1" spans="3:3">
      <c r="C52" s="264"/>
    </row>
    <row r="53" ht="14.25" customHeight="1" spans="3:3">
      <c r="C53" s="264"/>
    </row>
    <row r="54" ht="14.25" customHeight="1" spans="3:3">
      <c r="C54" s="264"/>
    </row>
    <row r="55" ht="14.25" customHeight="1" spans="3:3">
      <c r="C55" s="264"/>
    </row>
    <row r="56" ht="14.25" customHeight="1" spans="3:3">
      <c r="C56" s="264"/>
    </row>
    <row r="57" ht="14.25" customHeight="1" spans="3:3">
      <c r="C57" s="264"/>
    </row>
    <row r="58" ht="14.25" customHeight="1" spans="3:3">
      <c r="C58" s="264"/>
    </row>
    <row r="59" ht="14.25" customHeight="1" spans="3:3">
      <c r="C59" s="264"/>
    </row>
  </sheetData>
  <mergeCells count="3">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AH178"/>
  <sheetViews>
    <sheetView showGridLines="0" workbookViewId="0">
      <pane xSplit="2" ySplit="9" topLeftCell="E34" activePane="bottomRight" state="frozen"/>
      <selection/>
      <selection pane="topRight"/>
      <selection pane="bottomLeft"/>
      <selection pane="bottomRight" activeCell="N53" sqref="N53"/>
    </sheetView>
  </sheetViews>
  <sheetFormatPr defaultColWidth="8.89814814814815" defaultRowHeight="14.4"/>
  <cols>
    <col min="1" max="1" width="2.76851851851852" style="1" customWidth="1"/>
    <col min="2" max="2" width="46.2314814814815" style="1" customWidth="1"/>
    <col min="3" max="4" width="15" style="1" customWidth="1"/>
    <col min="5" max="7" width="14.1111111111111" style="1" customWidth="1"/>
    <col min="8" max="17" width="15"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5" ht="14.25" customHeight="1" spans="1:17">
      <c r="Q5" s="125" t="s">
        <v>51</v>
      </c>
    </row>
    <row r="6" ht="15" customHeight="1" spans="1:17">
      <c r="B6" s="343" t="s">
        <v>274</v>
      </c>
      <c r="C6" s="343"/>
      <c r="D6" s="343"/>
      <c r="E6" s="343"/>
      <c r="F6" s="343"/>
      <c r="G6" s="343"/>
      <c r="H6" s="343"/>
      <c r="I6" s="343"/>
      <c r="J6" s="343"/>
      <c r="K6" s="343"/>
      <c r="L6" s="343"/>
      <c r="M6" s="343"/>
      <c r="N6" s="343"/>
      <c r="O6" s="343"/>
      <c r="P6" s="343"/>
      <c r="Q6" s="343"/>
    </row>
    <row r="7" ht="14.25" customHeight="1" spans="1:17">
      <c r="B7" s="344" t="s">
        <v>39</v>
      </c>
      <c r="C7" s="5">
        <v>2022</v>
      </c>
      <c r="D7" s="5">
        <f t="shared" ref="D7:Q7" si="0">C7+1</f>
        <v>2023</v>
      </c>
      <c r="E7" s="5">
        <f t="shared" si="0"/>
        <v>2024</v>
      </c>
      <c r="F7" s="5">
        <f t="shared" si="0"/>
        <v>2025</v>
      </c>
      <c r="G7" s="5">
        <f t="shared" si="0"/>
        <v>2026</v>
      </c>
      <c r="H7" s="5">
        <f t="shared" si="0"/>
        <v>2027</v>
      </c>
      <c r="I7" s="5">
        <f t="shared" si="0"/>
        <v>2028</v>
      </c>
      <c r="J7" s="5">
        <f t="shared" si="0"/>
        <v>2029</v>
      </c>
      <c r="K7" s="5">
        <f t="shared" si="0"/>
        <v>2030</v>
      </c>
      <c r="L7" s="5">
        <f t="shared" si="0"/>
        <v>2031</v>
      </c>
      <c r="M7" s="5">
        <f t="shared" si="0"/>
        <v>2032</v>
      </c>
      <c r="N7" s="5">
        <f t="shared" si="0"/>
        <v>2033</v>
      </c>
      <c r="O7" s="5">
        <f t="shared" si="0"/>
        <v>2034</v>
      </c>
      <c r="P7" s="5">
        <f t="shared" si="0"/>
        <v>2035</v>
      </c>
      <c r="Q7" s="5">
        <f t="shared" si="0"/>
        <v>2036</v>
      </c>
    </row>
    <row r="8" ht="14.25" customHeight="1" spans="1:17">
      <c r="B8" s="344"/>
      <c r="C8" s="6" t="s">
        <v>85</v>
      </c>
      <c r="D8" s="6" t="s">
        <v>85</v>
      </c>
      <c r="E8" s="6" t="s">
        <v>85</v>
      </c>
      <c r="F8" s="6" t="s">
        <v>85</v>
      </c>
      <c r="G8" s="6" t="s">
        <v>85</v>
      </c>
      <c r="H8" s="7" t="s">
        <v>254</v>
      </c>
      <c r="I8" s="7" t="s">
        <v>255</v>
      </c>
      <c r="J8" s="7" t="s">
        <v>255</v>
      </c>
      <c r="K8" s="7" t="s">
        <v>255</v>
      </c>
      <c r="L8" s="7" t="s">
        <v>255</v>
      </c>
      <c r="M8" s="7" t="s">
        <v>255</v>
      </c>
      <c r="N8" s="7" t="s">
        <v>255</v>
      </c>
      <c r="O8" s="7" t="s">
        <v>255</v>
      </c>
      <c r="P8" s="7" t="s">
        <v>255</v>
      </c>
      <c r="Q8" s="7" t="s">
        <v>255</v>
      </c>
    </row>
    <row r="9" ht="15" customHeight="1" spans="1:17">
      <c r="B9" s="375" t="s">
        <v>275</v>
      </c>
      <c r="C9" s="375"/>
      <c r="D9" s="375"/>
      <c r="E9" s="375"/>
      <c r="F9" s="375"/>
      <c r="G9" s="375"/>
      <c r="H9" s="375"/>
      <c r="I9" s="375"/>
      <c r="J9" s="375"/>
      <c r="K9" s="375"/>
      <c r="L9" s="375"/>
      <c r="M9" s="375"/>
      <c r="N9" s="375"/>
      <c r="O9" s="375"/>
      <c r="P9" s="375"/>
      <c r="Q9" s="375"/>
    </row>
    <row r="10" ht="14.25" customHeight="1" spans="1:17">
      <c r="B10" s="376" t="s">
        <v>276</v>
      </c>
      <c r="C10" s="14"/>
      <c r="D10" s="14"/>
      <c r="E10" s="14"/>
      <c r="F10" s="14"/>
      <c r="G10" s="14"/>
      <c r="H10" s="205"/>
      <c r="I10" s="205"/>
      <c r="J10" s="205"/>
      <c r="K10" s="205"/>
      <c r="L10" s="205"/>
      <c r="M10" s="205"/>
      <c r="N10" s="205"/>
      <c r="O10" s="205"/>
      <c r="P10" s="205"/>
      <c r="Q10" s="205"/>
    </row>
    <row r="11" ht="14.25" customHeight="1" spans="1:17">
      <c r="B11" s="355" t="s">
        <v>277</v>
      </c>
      <c r="C11" s="257">
        <v>10357</v>
      </c>
      <c r="D11" s="257">
        <f t="shared" ref="D11:Q11" si="1">C15</f>
        <v>10512</v>
      </c>
      <c r="E11" s="257">
        <f t="shared" si="1"/>
        <v>10880</v>
      </c>
      <c r="F11" s="257">
        <f t="shared" si="1"/>
        <v>10729</v>
      </c>
      <c r="G11" s="257">
        <f t="shared" si="1"/>
        <v>11075</v>
      </c>
      <c r="H11" s="377">
        <f t="shared" si="1"/>
        <v>11075</v>
      </c>
      <c r="I11" s="377">
        <f t="shared" si="1"/>
        <v>11559.4</v>
      </c>
      <c r="J11" s="377">
        <f t="shared" si="1"/>
        <v>12043.8</v>
      </c>
      <c r="K11" s="377">
        <f t="shared" si="1"/>
        <v>12528.2</v>
      </c>
      <c r="L11" s="377">
        <f t="shared" si="1"/>
        <v>13206.36</v>
      </c>
      <c r="M11" s="377">
        <f t="shared" si="1"/>
        <v>13884.52</v>
      </c>
      <c r="N11" s="377">
        <f t="shared" si="1"/>
        <v>14562.68</v>
      </c>
      <c r="O11" s="377">
        <f t="shared" si="1"/>
        <v>15512.104</v>
      </c>
      <c r="P11" s="377">
        <f t="shared" si="1"/>
        <v>16461.528</v>
      </c>
      <c r="Q11" s="377">
        <f t="shared" si="1"/>
        <v>17410.952</v>
      </c>
    </row>
    <row r="12" ht="14.25" customHeight="1" spans="1:17">
      <c r="B12" s="346" t="s">
        <v>278</v>
      </c>
      <c r="C12" s="378">
        <v>202</v>
      </c>
      <c r="D12" s="378">
        <v>335</v>
      </c>
      <c r="E12" s="378">
        <v>264</v>
      </c>
      <c r="F12" s="378">
        <f>167+11</f>
        <v>178</v>
      </c>
      <c r="G12" s="378"/>
      <c r="H12" s="379">
        <f>F12*1.4</f>
        <v>249.2</v>
      </c>
      <c r="I12" s="379">
        <f>H12</f>
        <v>249.2</v>
      </c>
      <c r="J12" s="379">
        <f>I12</f>
        <v>249.2</v>
      </c>
      <c r="K12" s="379">
        <f>J12*1.4</f>
        <v>348.88</v>
      </c>
      <c r="L12" s="379">
        <f>K12</f>
        <v>348.88</v>
      </c>
      <c r="M12" s="379">
        <f>L12</f>
        <v>348.88</v>
      </c>
      <c r="N12" s="379">
        <f>M12*1.4</f>
        <v>488.432</v>
      </c>
      <c r="O12" s="379">
        <f>N12</f>
        <v>488.432</v>
      </c>
      <c r="P12" s="379">
        <f>O12</f>
        <v>488.432</v>
      </c>
      <c r="Q12" s="379">
        <f>P12*1.4</f>
        <v>683.8048</v>
      </c>
    </row>
    <row r="13" ht="14.25" customHeight="1" spans="1:17">
      <c r="B13" s="346" t="s">
        <v>279</v>
      </c>
      <c r="C13" s="378">
        <v>-49</v>
      </c>
      <c r="D13" s="378">
        <v>8</v>
      </c>
      <c r="E13" s="378">
        <v>-9</v>
      </c>
      <c r="F13" s="378">
        <f>84-23-11</f>
        <v>50</v>
      </c>
      <c r="G13" s="378"/>
      <c r="H13" s="379">
        <f>F13*1.4</f>
        <v>70</v>
      </c>
      <c r="I13" s="379">
        <f>H13</f>
        <v>70</v>
      </c>
      <c r="J13" s="379">
        <f>I13</f>
        <v>70</v>
      </c>
      <c r="K13" s="379">
        <f>J13*1.4</f>
        <v>98</v>
      </c>
      <c r="L13" s="379">
        <f>K13</f>
        <v>98</v>
      </c>
      <c r="M13" s="379">
        <f>L13</f>
        <v>98</v>
      </c>
      <c r="N13" s="379">
        <f>M13*1.4</f>
        <v>137.2</v>
      </c>
      <c r="O13" s="379">
        <f>N13</f>
        <v>137.2</v>
      </c>
      <c r="P13" s="379">
        <f>O13</f>
        <v>137.2</v>
      </c>
      <c r="Q13" s="379">
        <f>P13*1.4</f>
        <v>192.08</v>
      </c>
    </row>
    <row r="14" ht="14.25" customHeight="1" spans="1:17">
      <c r="B14" s="346" t="s">
        <v>280</v>
      </c>
      <c r="C14" s="378">
        <v>2</v>
      </c>
      <c r="D14" s="378">
        <v>25</v>
      </c>
      <c r="E14" s="378">
        <v>-406</v>
      </c>
      <c r="F14" s="378">
        <v>118</v>
      </c>
      <c r="G14" s="378"/>
      <c r="H14" s="379">
        <f>F14*1.4</f>
        <v>165.2</v>
      </c>
      <c r="I14" s="379">
        <f>H14</f>
        <v>165.2</v>
      </c>
      <c r="J14" s="379">
        <f>I14</f>
        <v>165.2</v>
      </c>
      <c r="K14" s="379">
        <f>J14*1.4</f>
        <v>231.28</v>
      </c>
      <c r="L14" s="379">
        <f>K14</f>
        <v>231.28</v>
      </c>
      <c r="M14" s="379">
        <f>L14</f>
        <v>231.28</v>
      </c>
      <c r="N14" s="379">
        <f>M14*1.4</f>
        <v>323.792</v>
      </c>
      <c r="O14" s="379">
        <f>N14</f>
        <v>323.792</v>
      </c>
      <c r="P14" s="379">
        <f>O14</f>
        <v>323.792</v>
      </c>
      <c r="Q14" s="379">
        <f>P14*1.4</f>
        <v>453.3088</v>
      </c>
    </row>
    <row r="15" ht="14.25" customHeight="1" spans="1:17">
      <c r="B15" s="355" t="s">
        <v>281</v>
      </c>
      <c r="C15" s="257">
        <f t="shared" ref="C15:Q15" si="2">SUM(C11:C14)</f>
        <v>10512</v>
      </c>
      <c r="D15" s="257">
        <f t="shared" si="2"/>
        <v>10880</v>
      </c>
      <c r="E15" s="257">
        <f t="shared" si="2"/>
        <v>10729</v>
      </c>
      <c r="F15" s="257">
        <f t="shared" si="2"/>
        <v>11075</v>
      </c>
      <c r="G15" s="257">
        <f t="shared" si="2"/>
        <v>11075</v>
      </c>
      <c r="H15" s="377">
        <f t="shared" si="2"/>
        <v>11559.4</v>
      </c>
      <c r="I15" s="377">
        <f t="shared" si="2"/>
        <v>12043.8</v>
      </c>
      <c r="J15" s="377">
        <f t="shared" si="2"/>
        <v>12528.2</v>
      </c>
      <c r="K15" s="377">
        <f t="shared" si="2"/>
        <v>13206.36</v>
      </c>
      <c r="L15" s="377">
        <f t="shared" si="2"/>
        <v>13884.52</v>
      </c>
      <c r="M15" s="377">
        <f t="shared" si="2"/>
        <v>14562.68</v>
      </c>
      <c r="N15" s="377">
        <f t="shared" si="2"/>
        <v>15512.104</v>
      </c>
      <c r="O15" s="377">
        <f t="shared" si="2"/>
        <v>16461.528</v>
      </c>
      <c r="P15" s="377">
        <f t="shared" si="2"/>
        <v>17410.952</v>
      </c>
      <c r="Q15" s="377">
        <f t="shared" si="2"/>
        <v>18740.1456</v>
      </c>
    </row>
    <row r="16" ht="14.25" customHeight="1" spans="1:17">
      <c r="B16" s="346"/>
      <c r="C16" s="378"/>
      <c r="D16" s="378"/>
      <c r="E16" s="378"/>
      <c r="F16" s="378"/>
      <c r="G16" s="378"/>
      <c r="H16" s="13"/>
      <c r="I16" s="13"/>
      <c r="J16" s="13"/>
      <c r="K16" s="13"/>
      <c r="L16" s="13"/>
      <c r="M16" s="13"/>
      <c r="N16" s="13"/>
      <c r="O16" s="13"/>
      <c r="P16" s="13"/>
      <c r="Q16" s="13"/>
    </row>
    <row r="17" ht="14.25" customHeight="1" spans="2:17">
      <c r="B17" s="380" t="s">
        <v>282</v>
      </c>
      <c r="C17" s="279">
        <v>8464</v>
      </c>
      <c r="D17" s="279">
        <f t="shared" ref="D17:Q17" si="3">C21</f>
        <v>8761</v>
      </c>
      <c r="E17" s="279">
        <f t="shared" si="3"/>
        <v>9139</v>
      </c>
      <c r="F17" s="279">
        <f t="shared" si="3"/>
        <v>9097</v>
      </c>
      <c r="G17" s="279">
        <f t="shared" si="3"/>
        <v>9273</v>
      </c>
      <c r="H17" s="381">
        <f t="shared" si="3"/>
        <v>9273</v>
      </c>
      <c r="I17" s="381">
        <f t="shared" si="3"/>
        <v>10076.6</v>
      </c>
      <c r="J17" s="381">
        <f t="shared" si="3"/>
        <v>10880.2</v>
      </c>
      <c r="K17" s="381">
        <f t="shared" si="3"/>
        <v>11683.8</v>
      </c>
      <c r="L17" s="381">
        <f t="shared" si="3"/>
        <v>12808.84</v>
      </c>
      <c r="M17" s="381">
        <f t="shared" si="3"/>
        <v>13933.88</v>
      </c>
      <c r="N17" s="381">
        <f t="shared" si="3"/>
        <v>15058.92</v>
      </c>
      <c r="O17" s="381">
        <f t="shared" si="3"/>
        <v>16633.976</v>
      </c>
      <c r="P17" s="381">
        <f t="shared" si="3"/>
        <v>18209.032</v>
      </c>
      <c r="Q17" s="381">
        <f t="shared" si="3"/>
        <v>19784.088</v>
      </c>
    </row>
    <row r="18" ht="15" customHeight="1" spans="2:17">
      <c r="B18" s="346" t="s">
        <v>283</v>
      </c>
      <c r="C18" s="378">
        <v>361</v>
      </c>
      <c r="D18" s="382">
        <v>345</v>
      </c>
      <c r="E18" s="382">
        <v>398</v>
      </c>
      <c r="F18" s="382"/>
      <c r="G18" s="382"/>
      <c r="H18" s="379">
        <f>E18*1.4</f>
        <v>557.2</v>
      </c>
      <c r="I18" s="379">
        <f>H18</f>
        <v>557.2</v>
      </c>
      <c r="J18" s="379">
        <f>I18</f>
        <v>557.2</v>
      </c>
      <c r="K18" s="379">
        <f>J18*1.4</f>
        <v>780.08</v>
      </c>
      <c r="L18" s="379">
        <f>K18</f>
        <v>780.08</v>
      </c>
      <c r="M18" s="379">
        <f>L18</f>
        <v>780.08</v>
      </c>
      <c r="N18" s="379">
        <f>M18*1.4</f>
        <v>1092.112</v>
      </c>
      <c r="O18" s="379">
        <f>N18</f>
        <v>1092.112</v>
      </c>
      <c r="P18" s="379">
        <f>O18</f>
        <v>1092.112</v>
      </c>
      <c r="Q18" s="379">
        <f>P18*1.4</f>
        <v>1528.9568</v>
      </c>
    </row>
    <row r="19" ht="15" customHeight="1" spans="2:17">
      <c r="B19" s="346" t="s">
        <v>279</v>
      </c>
      <c r="C19" s="378">
        <v>-45</v>
      </c>
      <c r="D19" s="378">
        <v>-2</v>
      </c>
      <c r="E19" s="378">
        <v>-29</v>
      </c>
      <c r="F19" s="378">
        <f>83-27-10</f>
        <v>46</v>
      </c>
      <c r="G19" s="382"/>
      <c r="H19" s="379">
        <f>F19*1.4</f>
        <v>64.4</v>
      </c>
      <c r="I19" s="379">
        <f>H19</f>
        <v>64.4</v>
      </c>
      <c r="J19" s="379">
        <f>I19</f>
        <v>64.4</v>
      </c>
      <c r="K19" s="379">
        <f>J19*1.4</f>
        <v>90.16</v>
      </c>
      <c r="L19" s="379">
        <f>K19</f>
        <v>90.16</v>
      </c>
      <c r="M19" s="379">
        <f>L19</f>
        <v>90.16</v>
      </c>
      <c r="N19" s="379">
        <f>M19*1.4</f>
        <v>126.224</v>
      </c>
      <c r="O19" s="379">
        <f>N19</f>
        <v>126.224</v>
      </c>
      <c r="P19" s="379">
        <f>O19</f>
        <v>126.224</v>
      </c>
      <c r="Q19" s="379">
        <f>P19*1.4</f>
        <v>176.7136</v>
      </c>
    </row>
    <row r="20" ht="14.25" customHeight="1" spans="2:17">
      <c r="B20" s="346" t="s">
        <v>280</v>
      </c>
      <c r="C20" s="378">
        <v>-19</v>
      </c>
      <c r="D20" s="378">
        <v>35</v>
      </c>
      <c r="E20" s="378">
        <v>-411</v>
      </c>
      <c r="F20" s="378">
        <v>130</v>
      </c>
      <c r="G20" s="382"/>
      <c r="H20" s="379">
        <f>F20*1.4</f>
        <v>182</v>
      </c>
      <c r="I20" s="379">
        <f>H20</f>
        <v>182</v>
      </c>
      <c r="J20" s="379">
        <f>I20</f>
        <v>182</v>
      </c>
      <c r="K20" s="379">
        <f>J20*1.4</f>
        <v>254.8</v>
      </c>
      <c r="L20" s="379">
        <f>K20</f>
        <v>254.8</v>
      </c>
      <c r="M20" s="379">
        <f>L20</f>
        <v>254.8</v>
      </c>
      <c r="N20" s="379">
        <f>M20*1.4</f>
        <v>356.72</v>
      </c>
      <c r="O20" s="379">
        <f>N20</f>
        <v>356.72</v>
      </c>
      <c r="P20" s="379">
        <f>O20</f>
        <v>356.72</v>
      </c>
      <c r="Q20" s="379">
        <f>P20*1.4</f>
        <v>499.408</v>
      </c>
    </row>
    <row r="21" ht="14.25" customHeight="1" spans="2:17">
      <c r="B21" s="355" t="s">
        <v>284</v>
      </c>
      <c r="C21" s="257">
        <f t="shared" ref="C21:Q21" si="4">SUM(C17:C20)</f>
        <v>8761</v>
      </c>
      <c r="D21" s="257">
        <f t="shared" si="4"/>
        <v>9139</v>
      </c>
      <c r="E21" s="257">
        <f t="shared" si="4"/>
        <v>9097</v>
      </c>
      <c r="F21" s="257">
        <f t="shared" si="4"/>
        <v>9273</v>
      </c>
      <c r="G21" s="257">
        <f t="shared" si="4"/>
        <v>9273</v>
      </c>
      <c r="H21" s="377">
        <f t="shared" si="4"/>
        <v>10076.6</v>
      </c>
      <c r="I21" s="377">
        <f t="shared" si="4"/>
        <v>10880.2</v>
      </c>
      <c r="J21" s="377">
        <f t="shared" si="4"/>
        <v>11683.8</v>
      </c>
      <c r="K21" s="377">
        <f t="shared" si="4"/>
        <v>12808.84</v>
      </c>
      <c r="L21" s="377">
        <f t="shared" si="4"/>
        <v>13933.88</v>
      </c>
      <c r="M21" s="377">
        <f t="shared" si="4"/>
        <v>15058.92</v>
      </c>
      <c r="N21" s="377">
        <f t="shared" si="4"/>
        <v>16633.976</v>
      </c>
      <c r="O21" s="377">
        <f t="shared" si="4"/>
        <v>18209.032</v>
      </c>
      <c r="P21" s="377">
        <f t="shared" si="4"/>
        <v>19784.088</v>
      </c>
      <c r="Q21" s="377">
        <f t="shared" si="4"/>
        <v>21989.1664</v>
      </c>
    </row>
    <row r="22" ht="14.25" customHeight="1" spans="2:17">
      <c r="B22" s="346"/>
      <c r="H22" s="319"/>
      <c r="I22" s="319"/>
      <c r="J22" s="319"/>
      <c r="K22" s="319"/>
      <c r="L22" s="319"/>
      <c r="M22" s="319"/>
      <c r="N22" s="319"/>
      <c r="O22" s="319"/>
      <c r="P22" s="319"/>
      <c r="Q22" s="319"/>
    </row>
    <row r="23" ht="14.25" customHeight="1" spans="2:17">
      <c r="B23" s="383" t="s">
        <v>285</v>
      </c>
      <c r="C23" s="384">
        <f t="shared" ref="C23:Q23" si="5">+C15-C21</f>
        <v>1751</v>
      </c>
      <c r="D23" s="383">
        <f t="shared" si="5"/>
        <v>1741</v>
      </c>
      <c r="E23" s="383">
        <f t="shared" si="5"/>
        <v>1632</v>
      </c>
      <c r="F23" s="383">
        <f t="shared" si="5"/>
        <v>1802</v>
      </c>
      <c r="G23" s="383">
        <f t="shared" si="5"/>
        <v>1802</v>
      </c>
      <c r="H23" s="385">
        <f t="shared" si="5"/>
        <v>1482.8</v>
      </c>
      <c r="I23" s="385">
        <f t="shared" si="5"/>
        <v>1163.6</v>
      </c>
      <c r="J23" s="385">
        <f t="shared" si="5"/>
        <v>844.400000000003</v>
      </c>
      <c r="K23" s="385">
        <f t="shared" si="5"/>
        <v>397.520000000004</v>
      </c>
      <c r="L23" s="385">
        <f t="shared" si="5"/>
        <v>-49.3599999999951</v>
      </c>
      <c r="M23" s="385">
        <f t="shared" si="5"/>
        <v>-496.239999999994</v>
      </c>
      <c r="N23" s="385">
        <f t="shared" si="5"/>
        <v>-1121.87199999999</v>
      </c>
      <c r="O23" s="385">
        <f t="shared" si="5"/>
        <v>-1747.50399999999</v>
      </c>
      <c r="P23" s="385">
        <f t="shared" si="5"/>
        <v>-2373.13599999999</v>
      </c>
      <c r="Q23" s="385">
        <f t="shared" si="5"/>
        <v>-3249.02079999999</v>
      </c>
    </row>
    <row r="24" ht="14.25" customHeight="1" spans="2:17">
      <c r="B24" s="346"/>
      <c r="C24" s="378"/>
      <c r="D24" s="378"/>
      <c r="E24" s="378"/>
      <c r="F24" s="378"/>
      <c r="G24" s="378"/>
      <c r="H24" s="13"/>
      <c r="I24" s="13"/>
      <c r="J24" s="13"/>
      <c r="K24" s="13"/>
      <c r="L24" s="13"/>
      <c r="M24" s="13"/>
      <c r="N24" s="13"/>
      <c r="O24" s="13"/>
      <c r="P24" s="13"/>
      <c r="Q24" s="13"/>
    </row>
    <row r="25" ht="14.25" customHeight="1" spans="2:17">
      <c r="B25" s="376" t="s">
        <v>286</v>
      </c>
      <c r="C25" s="378"/>
      <c r="D25" s="378"/>
      <c r="E25" s="378"/>
      <c r="F25" s="378"/>
      <c r="G25" s="378"/>
      <c r="H25" s="13"/>
      <c r="I25" s="13"/>
      <c r="J25" s="13"/>
      <c r="K25" s="13"/>
      <c r="L25" s="13"/>
      <c r="M25" s="13"/>
      <c r="N25" s="13"/>
      <c r="O25" s="13"/>
      <c r="P25" s="13"/>
      <c r="Q25" s="13"/>
    </row>
    <row r="26" ht="14.25" customHeight="1" spans="2:17">
      <c r="B26" s="355" t="s">
        <v>277</v>
      </c>
      <c r="C26" s="257">
        <v>10731</v>
      </c>
      <c r="D26" s="257">
        <f t="shared" ref="D26:Q26" si="6">+C30</f>
        <v>13767</v>
      </c>
      <c r="E26" s="257">
        <f t="shared" si="6"/>
        <v>18152</v>
      </c>
      <c r="F26" s="257">
        <f t="shared" si="6"/>
        <v>17608</v>
      </c>
      <c r="G26" s="257">
        <f t="shared" si="6"/>
        <v>24796</v>
      </c>
      <c r="H26" s="377">
        <f t="shared" si="6"/>
        <v>24796</v>
      </c>
      <c r="I26" s="377">
        <f t="shared" si="6"/>
        <v>34859.2</v>
      </c>
      <c r="J26" s="377">
        <f t="shared" si="6"/>
        <v>44922.4</v>
      </c>
      <c r="K26" s="377">
        <f t="shared" si="6"/>
        <v>54985.6</v>
      </c>
      <c r="L26" s="377">
        <f t="shared" si="6"/>
        <v>69074.08</v>
      </c>
      <c r="M26" s="377">
        <f t="shared" si="6"/>
        <v>83162.56</v>
      </c>
      <c r="N26" s="377">
        <f t="shared" si="6"/>
        <v>97251.04</v>
      </c>
      <c r="O26" s="377">
        <f t="shared" si="6"/>
        <v>116974.912</v>
      </c>
      <c r="P26" s="377">
        <f t="shared" si="6"/>
        <v>136698.784</v>
      </c>
      <c r="Q26" s="377">
        <f t="shared" si="6"/>
        <v>156422.656</v>
      </c>
    </row>
    <row r="27" ht="14.25" customHeight="1" spans="2:17">
      <c r="B27" s="346" t="s">
        <v>278</v>
      </c>
      <c r="C27" s="378">
        <v>2897</v>
      </c>
      <c r="D27" s="378">
        <v>4455</v>
      </c>
      <c r="E27" s="378">
        <v>370</v>
      </c>
      <c r="F27" s="378">
        <v>5625</v>
      </c>
      <c r="G27" s="378"/>
      <c r="H27" s="13">
        <f>F27*1.4</f>
        <v>7875</v>
      </c>
      <c r="I27" s="13">
        <f>H27</f>
        <v>7875</v>
      </c>
      <c r="J27" s="13">
        <f>I27</f>
        <v>7875</v>
      </c>
      <c r="K27" s="13">
        <f>J27*1.4</f>
        <v>11025</v>
      </c>
      <c r="L27" s="13">
        <f>K27</f>
        <v>11025</v>
      </c>
      <c r="M27" s="13">
        <f>L27</f>
        <v>11025</v>
      </c>
      <c r="N27" s="13">
        <f>M27*1.4</f>
        <v>15435</v>
      </c>
      <c r="O27" s="13">
        <f>N27</f>
        <v>15435</v>
      </c>
      <c r="P27" s="13">
        <f>O27</f>
        <v>15435</v>
      </c>
      <c r="Q27" s="13">
        <f>P27*1.4</f>
        <v>21609</v>
      </c>
    </row>
    <row r="28" ht="14.25" customHeight="1" spans="2:17">
      <c r="B28" s="346" t="s">
        <v>279</v>
      </c>
      <c r="C28" s="378">
        <v>-11</v>
      </c>
      <c r="D28" s="378"/>
      <c r="E28" s="378">
        <v>-252</v>
      </c>
      <c r="F28" s="378">
        <f>1074-28</f>
        <v>1046</v>
      </c>
      <c r="G28" s="378"/>
      <c r="H28" s="13">
        <f>F28*1.4</f>
        <v>1464.4</v>
      </c>
      <c r="I28" s="13">
        <f>H28</f>
        <v>1464.4</v>
      </c>
      <c r="J28" s="13">
        <f>I28</f>
        <v>1464.4</v>
      </c>
      <c r="K28" s="13">
        <f>J28*1.4</f>
        <v>2050.16</v>
      </c>
      <c r="L28" s="13">
        <f>K28</f>
        <v>2050.16</v>
      </c>
      <c r="M28" s="13">
        <f>L28</f>
        <v>2050.16</v>
      </c>
      <c r="N28" s="13">
        <f>M28*1.4</f>
        <v>2870.224</v>
      </c>
      <c r="O28" s="13">
        <f>N28</f>
        <v>2870.224</v>
      </c>
      <c r="P28" s="13">
        <f>O28</f>
        <v>2870.224</v>
      </c>
      <c r="Q28" s="13">
        <f>P28*1.4</f>
        <v>4018.3136</v>
      </c>
    </row>
    <row r="29" ht="14.25" customHeight="1" spans="2:17">
      <c r="B29" s="346" t="s">
        <v>280</v>
      </c>
      <c r="C29" s="378">
        <v>150</v>
      </c>
      <c r="D29" s="378">
        <v>-70</v>
      </c>
      <c r="E29" s="378">
        <v>-662</v>
      </c>
      <c r="F29" s="378">
        <v>517</v>
      </c>
      <c r="G29" s="378"/>
      <c r="H29" s="13">
        <f>F29*1.4</f>
        <v>723.8</v>
      </c>
      <c r="I29" s="13">
        <f>H29</f>
        <v>723.8</v>
      </c>
      <c r="J29" s="13">
        <f>I29</f>
        <v>723.8</v>
      </c>
      <c r="K29" s="13">
        <f>J29*1.4</f>
        <v>1013.32</v>
      </c>
      <c r="L29" s="13">
        <f>K29</f>
        <v>1013.32</v>
      </c>
      <c r="M29" s="13">
        <f>L29</f>
        <v>1013.32</v>
      </c>
      <c r="N29" s="13">
        <f>M29*1.4</f>
        <v>1418.648</v>
      </c>
      <c r="O29" s="13">
        <f>N29</f>
        <v>1418.648</v>
      </c>
      <c r="P29" s="13">
        <f>O29</f>
        <v>1418.648</v>
      </c>
      <c r="Q29" s="13">
        <f>P29*1.4</f>
        <v>1986.1072</v>
      </c>
    </row>
    <row r="30" ht="14.25" customHeight="1" spans="2:17">
      <c r="B30" s="355" t="s">
        <v>281</v>
      </c>
      <c r="C30" s="257">
        <f t="shared" ref="C30:Q30" si="7">SUM(C26:C29)</f>
        <v>13767</v>
      </c>
      <c r="D30" s="257">
        <f t="shared" si="7"/>
        <v>18152</v>
      </c>
      <c r="E30" s="257">
        <f t="shared" si="7"/>
        <v>17608</v>
      </c>
      <c r="F30" s="257">
        <f t="shared" si="7"/>
        <v>24796</v>
      </c>
      <c r="G30" s="257">
        <f t="shared" si="7"/>
        <v>24796</v>
      </c>
      <c r="H30" s="377">
        <f t="shared" si="7"/>
        <v>34859.2</v>
      </c>
      <c r="I30" s="377">
        <f t="shared" si="7"/>
        <v>44922.4</v>
      </c>
      <c r="J30" s="377">
        <f t="shared" si="7"/>
        <v>54985.6</v>
      </c>
      <c r="K30" s="377">
        <f t="shared" si="7"/>
        <v>69074.08</v>
      </c>
      <c r="L30" s="377">
        <f t="shared" si="7"/>
        <v>83162.56</v>
      </c>
      <c r="M30" s="377">
        <f t="shared" si="7"/>
        <v>97251.04</v>
      </c>
      <c r="N30" s="377">
        <f t="shared" si="7"/>
        <v>116974.912</v>
      </c>
      <c r="O30" s="377">
        <f t="shared" si="7"/>
        <v>136698.784</v>
      </c>
      <c r="P30" s="377">
        <f t="shared" si="7"/>
        <v>156422.656</v>
      </c>
      <c r="Q30" s="377">
        <f t="shared" si="7"/>
        <v>184036.0768</v>
      </c>
    </row>
    <row r="31" ht="14.25" customHeight="1" spans="2:17">
      <c r="B31" s="355"/>
      <c r="C31" s="257"/>
      <c r="D31" s="257"/>
      <c r="E31" s="257"/>
      <c r="F31" s="257"/>
      <c r="G31" s="257"/>
      <c r="H31" s="13"/>
      <c r="I31" s="13"/>
      <c r="J31" s="13"/>
      <c r="K31" s="13"/>
      <c r="L31" s="13"/>
      <c r="M31" s="13"/>
      <c r="N31" s="13"/>
      <c r="O31" s="13"/>
      <c r="P31" s="13"/>
      <c r="Q31" s="13"/>
    </row>
    <row r="32" ht="15" customHeight="1" spans="2:17">
      <c r="B32" s="355" t="s">
        <v>282</v>
      </c>
      <c r="C32" s="257">
        <v>4799</v>
      </c>
      <c r="D32" s="257">
        <f t="shared" ref="D32:Q32" si="8">+C36</f>
        <v>5413</v>
      </c>
      <c r="E32" s="257">
        <f t="shared" si="8"/>
        <v>6177</v>
      </c>
      <c r="F32" s="257">
        <f t="shared" si="8"/>
        <v>6437</v>
      </c>
      <c r="G32" s="257">
        <f t="shared" si="8"/>
        <v>8484</v>
      </c>
      <c r="H32" s="377">
        <f t="shared" si="8"/>
        <v>8484</v>
      </c>
      <c r="I32" s="377">
        <f t="shared" si="8"/>
        <v>11349.8</v>
      </c>
      <c r="J32" s="377">
        <f t="shared" si="8"/>
        <v>14215.6</v>
      </c>
      <c r="K32" s="377">
        <f t="shared" si="8"/>
        <v>17081.4</v>
      </c>
      <c r="L32" s="377">
        <f t="shared" si="8"/>
        <v>21093.52</v>
      </c>
      <c r="M32" s="377">
        <f t="shared" si="8"/>
        <v>25105.64</v>
      </c>
      <c r="N32" s="377">
        <f t="shared" si="8"/>
        <v>29117.76</v>
      </c>
      <c r="O32" s="377">
        <f t="shared" si="8"/>
        <v>34734.728</v>
      </c>
      <c r="P32" s="377">
        <f t="shared" si="8"/>
        <v>40351.696</v>
      </c>
      <c r="Q32" s="377">
        <f t="shared" si="8"/>
        <v>45968.664</v>
      </c>
    </row>
    <row r="33" ht="14.25" customHeight="1" spans="2:17">
      <c r="B33" s="346" t="s">
        <v>283</v>
      </c>
      <c r="C33" s="378">
        <v>568</v>
      </c>
      <c r="D33" s="378">
        <v>866</v>
      </c>
      <c r="E33" s="378">
        <v>859</v>
      </c>
      <c r="F33" s="378">
        <v>1069</v>
      </c>
      <c r="G33" s="378"/>
      <c r="H33" s="379">
        <f>F33*1.4</f>
        <v>1496.6</v>
      </c>
      <c r="I33" s="379">
        <f>H33</f>
        <v>1496.6</v>
      </c>
      <c r="J33" s="379">
        <f>I33</f>
        <v>1496.6</v>
      </c>
      <c r="K33" s="379">
        <f>J33*1.4</f>
        <v>2095.24</v>
      </c>
      <c r="L33" s="379">
        <f>K33</f>
        <v>2095.24</v>
      </c>
      <c r="M33" s="379">
        <f>L33</f>
        <v>2095.24</v>
      </c>
      <c r="N33" s="379">
        <f>M33*1.4</f>
        <v>2933.336</v>
      </c>
      <c r="O33" s="379">
        <f>N33</f>
        <v>2933.336</v>
      </c>
      <c r="P33" s="379">
        <f>O33</f>
        <v>2933.336</v>
      </c>
      <c r="Q33" s="379">
        <f>P33*1.4</f>
        <v>4106.6704</v>
      </c>
    </row>
    <row r="34" ht="14.25" customHeight="1" spans="2:17">
      <c r="B34" s="346" t="s">
        <v>279</v>
      </c>
      <c r="C34" s="378">
        <v>-2</v>
      </c>
      <c r="D34" s="378">
        <v>-5</v>
      </c>
      <c r="E34" s="378">
        <v>-165</v>
      </c>
      <c r="F34" s="378">
        <f>655-17+4</f>
        <v>642</v>
      </c>
      <c r="G34" s="378"/>
      <c r="H34" s="379">
        <f>F34*1.4</f>
        <v>898.8</v>
      </c>
      <c r="I34" s="379">
        <f>H34</f>
        <v>898.8</v>
      </c>
      <c r="J34" s="379">
        <f>I34</f>
        <v>898.8</v>
      </c>
      <c r="K34" s="379">
        <f>J34*1.4</f>
        <v>1258.32</v>
      </c>
      <c r="L34" s="379">
        <f>K34</f>
        <v>1258.32</v>
      </c>
      <c r="M34" s="379">
        <f>L34</f>
        <v>1258.32</v>
      </c>
      <c r="N34" s="379">
        <f>M34*1.4</f>
        <v>1761.648</v>
      </c>
      <c r="O34" s="379">
        <f>N34</f>
        <v>1761.648</v>
      </c>
      <c r="P34" s="379">
        <f>O34</f>
        <v>1761.648</v>
      </c>
      <c r="Q34" s="379">
        <f>P34*1.4</f>
        <v>2466.3072</v>
      </c>
    </row>
    <row r="35" ht="14.25" customHeight="1" spans="2:17">
      <c r="B35" s="346" t="s">
        <v>280</v>
      </c>
      <c r="C35" s="378">
        <v>48</v>
      </c>
      <c r="D35" s="378">
        <v>-97</v>
      </c>
      <c r="E35" s="378">
        <v>-434</v>
      </c>
      <c r="F35" s="378">
        <v>336</v>
      </c>
      <c r="G35" s="378"/>
      <c r="H35" s="379">
        <f>F35*1.4</f>
        <v>470.4</v>
      </c>
      <c r="I35" s="379">
        <f>H35</f>
        <v>470.4</v>
      </c>
      <c r="J35" s="379">
        <f>I35</f>
        <v>470.4</v>
      </c>
      <c r="K35" s="379">
        <f>J35*1.4</f>
        <v>658.56</v>
      </c>
      <c r="L35" s="379">
        <f>K35</f>
        <v>658.56</v>
      </c>
      <c r="M35" s="379">
        <f>L35</f>
        <v>658.56</v>
      </c>
      <c r="N35" s="379">
        <f>M35*1.4</f>
        <v>921.984</v>
      </c>
      <c r="O35" s="379">
        <f>N35</f>
        <v>921.984</v>
      </c>
      <c r="P35" s="379">
        <f>O35</f>
        <v>921.984</v>
      </c>
      <c r="Q35" s="379">
        <f>P35*1.4</f>
        <v>1290.7776</v>
      </c>
    </row>
    <row r="36" ht="14.25" customHeight="1" spans="2:17">
      <c r="B36" s="355" t="s">
        <v>284</v>
      </c>
      <c r="C36" s="257">
        <f t="shared" ref="C36:Q36" si="9">SUM(C32:C35)</f>
        <v>5413</v>
      </c>
      <c r="D36" s="257">
        <f t="shared" si="9"/>
        <v>6177</v>
      </c>
      <c r="E36" s="257">
        <f t="shared" si="9"/>
        <v>6437</v>
      </c>
      <c r="F36" s="257">
        <f t="shared" si="9"/>
        <v>8484</v>
      </c>
      <c r="G36" s="257">
        <f t="shared" si="9"/>
        <v>8484</v>
      </c>
      <c r="H36" s="377">
        <f t="shared" si="9"/>
        <v>11349.8</v>
      </c>
      <c r="I36" s="377">
        <f t="shared" si="9"/>
        <v>14215.6</v>
      </c>
      <c r="J36" s="377">
        <f t="shared" si="9"/>
        <v>17081.4</v>
      </c>
      <c r="K36" s="377">
        <f t="shared" si="9"/>
        <v>21093.52</v>
      </c>
      <c r="L36" s="377">
        <f t="shared" si="9"/>
        <v>25105.64</v>
      </c>
      <c r="M36" s="377">
        <f t="shared" si="9"/>
        <v>29117.76</v>
      </c>
      <c r="N36" s="377">
        <f t="shared" si="9"/>
        <v>34734.728</v>
      </c>
      <c r="O36" s="377">
        <f t="shared" si="9"/>
        <v>40351.696</v>
      </c>
      <c r="P36" s="377">
        <f t="shared" si="9"/>
        <v>45968.664</v>
      </c>
      <c r="Q36" s="377">
        <f t="shared" si="9"/>
        <v>53832.4192</v>
      </c>
    </row>
    <row r="37" ht="14.25" customHeight="1" spans="2:17">
      <c r="B37" s="346"/>
      <c r="C37" s="378"/>
      <c r="D37" s="378"/>
      <c r="E37" s="378"/>
      <c r="F37" s="378"/>
      <c r="G37" s="378"/>
      <c r="H37" s="13"/>
      <c r="I37" s="13"/>
      <c r="J37" s="13"/>
      <c r="K37" s="13"/>
      <c r="L37" s="13"/>
      <c r="M37" s="13"/>
      <c r="N37" s="13"/>
      <c r="O37" s="13"/>
      <c r="P37" s="13"/>
      <c r="Q37" s="13"/>
    </row>
    <row r="38" ht="14.25" customHeight="1" spans="2:17">
      <c r="B38" s="384" t="s">
        <v>285</v>
      </c>
      <c r="C38" s="383">
        <f t="shared" ref="C38:Q38" si="10">+C30-C36</f>
        <v>8354</v>
      </c>
      <c r="D38" s="383">
        <f t="shared" si="10"/>
        <v>11975</v>
      </c>
      <c r="E38" s="383">
        <f t="shared" si="10"/>
        <v>11171</v>
      </c>
      <c r="F38" s="383">
        <f t="shared" si="10"/>
        <v>16312</v>
      </c>
      <c r="G38" s="386">
        <f t="shared" si="10"/>
        <v>16312</v>
      </c>
      <c r="H38" s="385">
        <f t="shared" si="10"/>
        <v>23509.4</v>
      </c>
      <c r="I38" s="385">
        <f t="shared" si="10"/>
        <v>30706.8</v>
      </c>
      <c r="J38" s="385">
        <f t="shared" si="10"/>
        <v>37904.2</v>
      </c>
      <c r="K38" s="385">
        <f t="shared" si="10"/>
        <v>47980.56</v>
      </c>
      <c r="L38" s="385">
        <f t="shared" si="10"/>
        <v>58056.92</v>
      </c>
      <c r="M38" s="385">
        <f t="shared" si="10"/>
        <v>68133.28</v>
      </c>
      <c r="N38" s="385">
        <f t="shared" si="10"/>
        <v>82240.184</v>
      </c>
      <c r="O38" s="385">
        <f t="shared" si="10"/>
        <v>96347.088</v>
      </c>
      <c r="P38" s="385">
        <f t="shared" si="10"/>
        <v>110453.992</v>
      </c>
      <c r="Q38" s="385">
        <f t="shared" si="10"/>
        <v>130203.6576</v>
      </c>
    </row>
    <row r="39" ht="14.25" customHeight="1" spans="2:17">
      <c r="B39" s="346"/>
      <c r="C39" s="378"/>
      <c r="D39" s="378"/>
      <c r="E39" s="378"/>
      <c r="F39" s="378"/>
      <c r="G39" s="378"/>
      <c r="H39" s="13"/>
      <c r="I39" s="13"/>
      <c r="J39" s="13"/>
      <c r="K39" s="13"/>
      <c r="L39" s="13"/>
      <c r="M39" s="13"/>
      <c r="N39" s="13"/>
      <c r="O39" s="13"/>
      <c r="P39" s="13"/>
      <c r="Q39" s="13"/>
    </row>
    <row r="40" ht="14.25" customHeight="1" spans="2:17">
      <c r="B40" s="376" t="s">
        <v>287</v>
      </c>
      <c r="C40" s="378"/>
      <c r="D40" s="378"/>
      <c r="E40" s="378"/>
      <c r="F40" s="378"/>
      <c r="G40" s="378"/>
      <c r="H40" s="13"/>
      <c r="I40" s="13"/>
      <c r="J40" s="13"/>
      <c r="K40" s="13"/>
      <c r="L40" s="13"/>
      <c r="M40" s="13"/>
      <c r="N40" s="13"/>
      <c r="O40" s="13"/>
      <c r="P40" s="13"/>
      <c r="Q40" s="13"/>
    </row>
    <row r="41" ht="14.25" customHeight="1" spans="2:17">
      <c r="B41" s="355" t="s">
        <v>277</v>
      </c>
      <c r="C41" s="257">
        <v>5843</v>
      </c>
      <c r="D41" s="257">
        <f t="shared" ref="D41:Q41" si="11">+C45</f>
        <v>5798</v>
      </c>
      <c r="E41" s="257">
        <f t="shared" si="11"/>
        <v>8238</v>
      </c>
      <c r="F41" s="257">
        <f t="shared" si="11"/>
        <v>9415</v>
      </c>
      <c r="G41" s="257">
        <f t="shared" si="11"/>
        <v>10112</v>
      </c>
      <c r="H41" s="377">
        <f t="shared" si="11"/>
        <v>10112</v>
      </c>
      <c r="I41" s="377">
        <f t="shared" si="11"/>
        <v>11087.8</v>
      </c>
      <c r="J41" s="377">
        <f t="shared" si="11"/>
        <v>12063.6</v>
      </c>
      <c r="K41" s="377">
        <f t="shared" si="11"/>
        <v>13039.4</v>
      </c>
      <c r="L41" s="377">
        <f t="shared" si="11"/>
        <v>14405.52</v>
      </c>
      <c r="M41" s="377">
        <f t="shared" si="11"/>
        <v>15771.64</v>
      </c>
      <c r="N41" s="377">
        <f t="shared" si="11"/>
        <v>17137.76</v>
      </c>
      <c r="O41" s="377">
        <f t="shared" si="11"/>
        <v>19050.328</v>
      </c>
      <c r="P41" s="377">
        <f t="shared" si="11"/>
        <v>20962.896</v>
      </c>
      <c r="Q41" s="377">
        <f t="shared" si="11"/>
        <v>22875.464</v>
      </c>
    </row>
    <row r="42" ht="14.25" customHeight="1" spans="2:17">
      <c r="B42" s="346" t="s">
        <v>278</v>
      </c>
      <c r="C42" s="378">
        <v>145</v>
      </c>
      <c r="D42" s="378">
        <v>2355</v>
      </c>
      <c r="E42" s="378">
        <v>1350</v>
      </c>
      <c r="F42" s="378">
        <f>652+4</f>
        <v>656</v>
      </c>
      <c r="G42" s="378"/>
      <c r="H42" s="379">
        <f>F42*1.4</f>
        <v>918.4</v>
      </c>
      <c r="I42" s="379">
        <f>H42</f>
        <v>918.4</v>
      </c>
      <c r="J42" s="379">
        <f>I42</f>
        <v>918.4</v>
      </c>
      <c r="K42" s="379">
        <f>J42*1.4</f>
        <v>1285.76</v>
      </c>
      <c r="L42" s="379">
        <f>K42</f>
        <v>1285.76</v>
      </c>
      <c r="M42" s="379">
        <f>L42</f>
        <v>1285.76</v>
      </c>
      <c r="N42" s="379">
        <f>M42*1.4</f>
        <v>1800.064</v>
      </c>
      <c r="O42" s="379">
        <f>N42</f>
        <v>1800.064</v>
      </c>
      <c r="P42" s="379">
        <f>O42</f>
        <v>1800.064</v>
      </c>
      <c r="Q42" s="379">
        <f>P42*1.4</f>
        <v>2520.0896</v>
      </c>
    </row>
    <row r="43" ht="15" customHeight="1" spans="2:17">
      <c r="B43" s="8" t="s">
        <v>279</v>
      </c>
      <c r="C43" s="387">
        <v>-185</v>
      </c>
      <c r="D43" s="387">
        <v>0</v>
      </c>
      <c r="E43" s="387">
        <v>-44</v>
      </c>
      <c r="F43" s="387">
        <f>25-6</f>
        <v>19</v>
      </c>
      <c r="G43" s="378"/>
      <c r="H43" s="379">
        <f>F43*1.4</f>
        <v>26.6</v>
      </c>
      <c r="I43" s="379">
        <f>H43</f>
        <v>26.6</v>
      </c>
      <c r="J43" s="379">
        <f>I43</f>
        <v>26.6</v>
      </c>
      <c r="K43" s="379">
        <f>J43*1.4</f>
        <v>37.24</v>
      </c>
      <c r="L43" s="379">
        <f>K43</f>
        <v>37.24</v>
      </c>
      <c r="M43" s="379">
        <f>L43</f>
        <v>37.24</v>
      </c>
      <c r="N43" s="379">
        <f>M43*1.4</f>
        <v>52.136</v>
      </c>
      <c r="O43" s="379">
        <f>N43</f>
        <v>52.136</v>
      </c>
      <c r="P43" s="379">
        <f>O43</f>
        <v>52.136</v>
      </c>
      <c r="Q43" s="379">
        <f>P43*1.4</f>
        <v>72.9904</v>
      </c>
    </row>
    <row r="44" ht="15" customHeight="1" spans="2:17">
      <c r="B44" s="346" t="s">
        <v>280</v>
      </c>
      <c r="C44" s="378">
        <v>-5</v>
      </c>
      <c r="D44" s="378">
        <v>85</v>
      </c>
      <c r="E44" s="378">
        <v>-129</v>
      </c>
      <c r="F44" s="378">
        <v>22</v>
      </c>
      <c r="G44" s="378"/>
      <c r="H44" s="379">
        <f>F44*1.4</f>
        <v>30.8</v>
      </c>
      <c r="I44" s="379">
        <f>H44</f>
        <v>30.8</v>
      </c>
      <c r="J44" s="379">
        <f>I44</f>
        <v>30.8</v>
      </c>
      <c r="K44" s="379">
        <f>J44*1.4</f>
        <v>43.12</v>
      </c>
      <c r="L44" s="379">
        <f>K44</f>
        <v>43.12</v>
      </c>
      <c r="M44" s="379">
        <f>L44</f>
        <v>43.12</v>
      </c>
      <c r="N44" s="379">
        <f>M44*1.4</f>
        <v>60.368</v>
      </c>
      <c r="O44" s="379">
        <f>N44</f>
        <v>60.368</v>
      </c>
      <c r="P44" s="379">
        <f>O44</f>
        <v>60.368</v>
      </c>
      <c r="Q44" s="379">
        <f>P44*1.4</f>
        <v>84.5152</v>
      </c>
    </row>
    <row r="45" ht="14.25" customHeight="1" spans="2:17">
      <c r="B45" s="355" t="s">
        <v>281</v>
      </c>
      <c r="C45" s="257">
        <f t="shared" ref="C45:Q45" si="12">SUM(C41:C44)</f>
        <v>5798</v>
      </c>
      <c r="D45" s="257">
        <f t="shared" si="12"/>
        <v>8238</v>
      </c>
      <c r="E45" s="257">
        <f t="shared" si="12"/>
        <v>9415</v>
      </c>
      <c r="F45" s="257">
        <f t="shared" si="12"/>
        <v>10112</v>
      </c>
      <c r="G45" s="257">
        <f t="shared" si="12"/>
        <v>10112</v>
      </c>
      <c r="H45" s="377">
        <f t="shared" si="12"/>
        <v>11087.8</v>
      </c>
      <c r="I45" s="377">
        <f t="shared" si="12"/>
        <v>12063.6</v>
      </c>
      <c r="J45" s="377">
        <f t="shared" si="12"/>
        <v>13039.4</v>
      </c>
      <c r="K45" s="377">
        <f t="shared" si="12"/>
        <v>14405.52</v>
      </c>
      <c r="L45" s="377">
        <f t="shared" si="12"/>
        <v>15771.64</v>
      </c>
      <c r="M45" s="377">
        <f t="shared" si="12"/>
        <v>17137.76</v>
      </c>
      <c r="N45" s="377">
        <f t="shared" si="12"/>
        <v>19050.328</v>
      </c>
      <c r="O45" s="377">
        <f t="shared" si="12"/>
        <v>20962.896</v>
      </c>
      <c r="P45" s="377">
        <f t="shared" si="12"/>
        <v>22875.464</v>
      </c>
      <c r="Q45" s="377">
        <f t="shared" si="12"/>
        <v>25553.0592</v>
      </c>
    </row>
    <row r="46" ht="14.25" customHeight="1" spans="2:17">
      <c r="B46" s="355"/>
      <c r="C46" s="388"/>
      <c r="D46" s="388"/>
      <c r="E46" s="388"/>
      <c r="F46" s="388"/>
      <c r="G46" s="388"/>
      <c r="H46" s="377"/>
      <c r="I46" s="377"/>
      <c r="J46" s="377"/>
      <c r="K46" s="377"/>
      <c r="L46" s="377"/>
      <c r="M46" s="377"/>
      <c r="N46" s="377"/>
      <c r="O46" s="377"/>
      <c r="P46" s="377"/>
      <c r="Q46" s="377"/>
    </row>
    <row r="47" ht="14.25" customHeight="1" spans="2:17">
      <c r="B47" s="384" t="s">
        <v>285</v>
      </c>
      <c r="C47" s="383">
        <f t="shared" ref="C47:Q47" si="13">+C45</f>
        <v>5798</v>
      </c>
      <c r="D47" s="383">
        <f t="shared" si="13"/>
        <v>8238</v>
      </c>
      <c r="E47" s="383">
        <f t="shared" si="13"/>
        <v>9415</v>
      </c>
      <c r="F47" s="383">
        <f t="shared" si="13"/>
        <v>10112</v>
      </c>
      <c r="G47" s="386">
        <f t="shared" si="13"/>
        <v>10112</v>
      </c>
      <c r="H47" s="385">
        <f t="shared" si="13"/>
        <v>11087.8</v>
      </c>
      <c r="I47" s="385">
        <f t="shared" si="13"/>
        <v>12063.6</v>
      </c>
      <c r="J47" s="385">
        <f t="shared" si="13"/>
        <v>13039.4</v>
      </c>
      <c r="K47" s="385">
        <f t="shared" si="13"/>
        <v>14405.52</v>
      </c>
      <c r="L47" s="385">
        <f t="shared" si="13"/>
        <v>15771.64</v>
      </c>
      <c r="M47" s="385">
        <f t="shared" si="13"/>
        <v>17137.76</v>
      </c>
      <c r="N47" s="385">
        <f t="shared" si="13"/>
        <v>19050.328</v>
      </c>
      <c r="O47" s="385">
        <f t="shared" si="13"/>
        <v>20962.896</v>
      </c>
      <c r="P47" s="385">
        <f t="shared" si="13"/>
        <v>22875.464</v>
      </c>
      <c r="Q47" s="385">
        <f t="shared" si="13"/>
        <v>25553.0592</v>
      </c>
    </row>
    <row r="48" ht="14.25" customHeight="1" spans="2:17">
      <c r="B48" s="346"/>
      <c r="C48" s="378"/>
      <c r="D48" s="378"/>
      <c r="E48" s="378"/>
      <c r="F48" s="378"/>
      <c r="G48" s="378"/>
      <c r="H48" s="13"/>
      <c r="I48" s="13"/>
      <c r="J48" s="13"/>
      <c r="K48" s="13"/>
      <c r="L48" s="13"/>
      <c r="M48" s="13"/>
      <c r="N48" s="13"/>
      <c r="O48" s="13"/>
      <c r="P48" s="13"/>
      <c r="Q48" s="13"/>
    </row>
    <row r="49" ht="14.25" customHeight="1" spans="2:17">
      <c r="B49" s="298" t="s">
        <v>288</v>
      </c>
      <c r="C49" s="378"/>
      <c r="D49" s="378"/>
      <c r="E49" s="378"/>
      <c r="F49" s="378"/>
      <c r="G49" s="378"/>
      <c r="H49" s="13"/>
      <c r="I49" s="13"/>
      <c r="J49" s="13"/>
      <c r="K49" s="13"/>
      <c r="L49" s="13"/>
      <c r="M49" s="13"/>
      <c r="N49" s="13"/>
      <c r="O49" s="13"/>
      <c r="P49" s="13"/>
      <c r="Q49" s="13"/>
    </row>
    <row r="50" ht="14.25" customHeight="1" spans="2:17">
      <c r="B50" s="355" t="s">
        <v>277</v>
      </c>
      <c r="C50" s="257">
        <v>1926716</v>
      </c>
      <c r="D50" s="257">
        <f t="shared" ref="D50:Q50" si="14">+C54</f>
        <v>2105395</v>
      </c>
      <c r="E50" s="257">
        <f t="shared" si="14"/>
        <v>2284891</v>
      </c>
      <c r="F50" s="257">
        <f t="shared" si="14"/>
        <v>2431350</v>
      </c>
      <c r="G50" s="257">
        <f t="shared" si="14"/>
        <v>2950094</v>
      </c>
      <c r="H50" s="377">
        <f t="shared" si="14"/>
        <v>3087684</v>
      </c>
      <c r="I50" s="377">
        <f t="shared" si="14"/>
        <v>3813925.6</v>
      </c>
      <c r="J50" s="377">
        <f t="shared" si="14"/>
        <v>4540167.2</v>
      </c>
      <c r="K50" s="377">
        <f t="shared" si="14"/>
        <v>5266408.8</v>
      </c>
      <c r="L50" s="377">
        <f t="shared" si="14"/>
        <v>6283147.04</v>
      </c>
      <c r="M50" s="377">
        <f t="shared" si="14"/>
        <v>7299885.28</v>
      </c>
      <c r="N50" s="377">
        <f t="shared" si="14"/>
        <v>8316623.52</v>
      </c>
      <c r="O50" s="377">
        <f t="shared" si="14"/>
        <v>9740057.056</v>
      </c>
      <c r="P50" s="377">
        <f t="shared" si="14"/>
        <v>11163490.592</v>
      </c>
      <c r="Q50" s="377">
        <f t="shared" si="14"/>
        <v>12586924.128</v>
      </c>
    </row>
    <row r="51" ht="14.25" customHeight="1" spans="2:17">
      <c r="B51" s="346" t="s">
        <v>278</v>
      </c>
      <c r="C51" s="378">
        <v>231788</v>
      </c>
      <c r="D51" s="378">
        <v>231784</v>
      </c>
      <c r="E51" s="378">
        <f>381615+1</f>
        <v>381616</v>
      </c>
      <c r="F51" s="378">
        <f>336681+271296</f>
        <v>607977</v>
      </c>
      <c r="G51" s="378">
        <v>137590</v>
      </c>
      <c r="H51" s="379">
        <f>F51*1.4</f>
        <v>851167.8</v>
      </c>
      <c r="I51" s="379">
        <f>H51</f>
        <v>851167.8</v>
      </c>
      <c r="J51" s="379">
        <f>I51</f>
        <v>851167.8</v>
      </c>
      <c r="K51" s="379">
        <f>J51*1.4</f>
        <v>1191634.92</v>
      </c>
      <c r="L51" s="379">
        <f>K51</f>
        <v>1191634.92</v>
      </c>
      <c r="M51" s="379">
        <f>L51</f>
        <v>1191634.92</v>
      </c>
      <c r="N51" s="379">
        <f>M51*1.4</f>
        <v>1668288.888</v>
      </c>
      <c r="O51" s="379">
        <f>N51</f>
        <v>1668288.888</v>
      </c>
      <c r="P51" s="379">
        <f>O51</f>
        <v>1668288.888</v>
      </c>
      <c r="Q51" s="379">
        <f>P51*1.4</f>
        <v>2335604.4432</v>
      </c>
    </row>
    <row r="52" ht="14.25" customHeight="1" spans="2:17">
      <c r="B52" s="346" t="s">
        <v>279</v>
      </c>
      <c r="C52" s="378">
        <v>-51121</v>
      </c>
      <c r="D52" s="378">
        <v>-43150</v>
      </c>
      <c r="E52" s="378">
        <v>-124658</v>
      </c>
      <c r="F52" s="378">
        <f>17021-100738-10615</f>
        <v>-94332</v>
      </c>
      <c r="G52" s="378"/>
      <c r="H52" s="379">
        <f>F52*1.4</f>
        <v>-132064.8</v>
      </c>
      <c r="I52" s="379">
        <f>H52</f>
        <v>-132064.8</v>
      </c>
      <c r="J52" s="379">
        <f>I52</f>
        <v>-132064.8</v>
      </c>
      <c r="K52" s="379">
        <f>J52*1.4</f>
        <v>-184890.72</v>
      </c>
      <c r="L52" s="379">
        <f>K52</f>
        <v>-184890.72</v>
      </c>
      <c r="M52" s="379">
        <f>L52</f>
        <v>-184890.72</v>
      </c>
      <c r="N52" s="379">
        <f>M52*1.4</f>
        <v>-258847.008</v>
      </c>
      <c r="O52" s="379">
        <f>N52</f>
        <v>-258847.008</v>
      </c>
      <c r="P52" s="379">
        <f>O52</f>
        <v>-258847.008</v>
      </c>
      <c r="Q52" s="379">
        <f>P52*1.4</f>
        <v>-362385.8112</v>
      </c>
    </row>
    <row r="53" ht="14.25" customHeight="1" spans="2:17">
      <c r="B53" s="346" t="s">
        <v>280</v>
      </c>
      <c r="C53" s="378">
        <v>-1988</v>
      </c>
      <c r="D53" s="378">
        <v>-9138</v>
      </c>
      <c r="E53" s="378">
        <v>-110499</v>
      </c>
      <c r="F53" s="378">
        <v>5099</v>
      </c>
      <c r="G53" s="378"/>
      <c r="H53" s="379">
        <f>F53*1.4</f>
        <v>7138.6</v>
      </c>
      <c r="I53" s="379">
        <f>H53</f>
        <v>7138.6</v>
      </c>
      <c r="J53" s="379">
        <f>I53</f>
        <v>7138.6</v>
      </c>
      <c r="K53" s="379">
        <f>J53*1.4</f>
        <v>9994.04</v>
      </c>
      <c r="L53" s="379">
        <f>K53</f>
        <v>9994.04</v>
      </c>
      <c r="M53" s="379">
        <f>L53</f>
        <v>9994.04</v>
      </c>
      <c r="N53" s="379">
        <f>M53*1.4</f>
        <v>13991.656</v>
      </c>
      <c r="O53" s="379">
        <f>N53</f>
        <v>13991.656</v>
      </c>
      <c r="P53" s="379">
        <f>O53</f>
        <v>13991.656</v>
      </c>
      <c r="Q53" s="379">
        <f>P53*1.4</f>
        <v>19588.3184</v>
      </c>
    </row>
    <row r="54" ht="14.25" customHeight="1" spans="2:17">
      <c r="B54" s="355" t="s">
        <v>281</v>
      </c>
      <c r="C54" s="257">
        <f t="shared" ref="C54:Q54" si="15">SUM(C50:C53)</f>
        <v>2105395</v>
      </c>
      <c r="D54" s="257">
        <f t="shared" si="15"/>
        <v>2284891</v>
      </c>
      <c r="E54" s="257">
        <f t="shared" si="15"/>
        <v>2431350</v>
      </c>
      <c r="F54" s="257">
        <f t="shared" si="15"/>
        <v>2950094</v>
      </c>
      <c r="G54" s="257">
        <f t="shared" si="15"/>
        <v>3087684</v>
      </c>
      <c r="H54" s="377">
        <f t="shared" si="15"/>
        <v>3813925.6</v>
      </c>
      <c r="I54" s="377">
        <f t="shared" si="15"/>
        <v>4540167.2</v>
      </c>
      <c r="J54" s="377">
        <f t="shared" si="15"/>
        <v>5266408.8</v>
      </c>
      <c r="K54" s="377">
        <f t="shared" si="15"/>
        <v>6283147.04</v>
      </c>
      <c r="L54" s="377">
        <f t="shared" si="15"/>
        <v>7299885.28</v>
      </c>
      <c r="M54" s="377">
        <f t="shared" si="15"/>
        <v>8316623.52</v>
      </c>
      <c r="N54" s="377">
        <f t="shared" si="15"/>
        <v>9740057.056</v>
      </c>
      <c r="O54" s="377">
        <f t="shared" si="15"/>
        <v>11163490.592</v>
      </c>
      <c r="P54" s="377">
        <f t="shared" si="15"/>
        <v>12586924.128</v>
      </c>
      <c r="Q54" s="377">
        <f t="shared" si="15"/>
        <v>14579731.0784</v>
      </c>
    </row>
    <row r="55" ht="14.25" customHeight="1" spans="2:17">
      <c r="B55" s="389"/>
      <c r="C55" s="378"/>
      <c r="D55" s="378"/>
      <c r="E55" s="378"/>
      <c r="F55" s="378"/>
      <c r="G55" s="378"/>
      <c r="H55" s="13"/>
      <c r="I55" s="13"/>
      <c r="J55" s="13"/>
      <c r="K55" s="13"/>
      <c r="L55" s="13"/>
      <c r="M55" s="13"/>
      <c r="N55" s="13"/>
      <c r="O55" s="13"/>
      <c r="P55" s="13"/>
      <c r="Q55" s="13"/>
    </row>
    <row r="56" ht="15" customHeight="1" spans="2:17">
      <c r="B56" s="355" t="s">
        <v>282</v>
      </c>
      <c r="C56" s="257">
        <v>1094375</v>
      </c>
      <c r="D56" s="390">
        <f t="shared" ref="D56:Q56" si="16">+C60</f>
        <v>1230809</v>
      </c>
      <c r="E56" s="390">
        <f t="shared" si="16"/>
        <v>1376394</v>
      </c>
      <c r="F56" s="390">
        <f t="shared" si="16"/>
        <v>1407191</v>
      </c>
      <c r="G56" s="390">
        <f t="shared" si="16"/>
        <v>1569071</v>
      </c>
      <c r="H56" s="391">
        <f t="shared" si="16"/>
        <v>1569071</v>
      </c>
      <c r="I56" s="391">
        <f t="shared" si="16"/>
        <v>1795703</v>
      </c>
      <c r="J56" s="391">
        <f t="shared" si="16"/>
        <v>2022335</v>
      </c>
      <c r="K56" s="391">
        <f t="shared" si="16"/>
        <v>2248967</v>
      </c>
      <c r="L56" s="391">
        <f t="shared" si="16"/>
        <v>2566251.8</v>
      </c>
      <c r="M56" s="391">
        <f t="shared" si="16"/>
        <v>2883536.6</v>
      </c>
      <c r="N56" s="391">
        <f t="shared" si="16"/>
        <v>3200821.4</v>
      </c>
      <c r="O56" s="391">
        <f t="shared" si="16"/>
        <v>3645020.12</v>
      </c>
      <c r="P56" s="391">
        <f t="shared" si="16"/>
        <v>4089218.84</v>
      </c>
      <c r="Q56" s="391">
        <f t="shared" si="16"/>
        <v>4533417.56</v>
      </c>
    </row>
    <row r="57" ht="15" customHeight="1" spans="2:17">
      <c r="B57" s="346" t="s">
        <v>283</v>
      </c>
      <c r="C57" s="378">
        <v>182766</v>
      </c>
      <c r="D57" s="378">
        <v>196737</v>
      </c>
      <c r="E57" s="378">
        <v>211925</v>
      </c>
      <c r="F57" s="378">
        <v>248439</v>
      </c>
      <c r="G57" s="378"/>
      <c r="H57" s="379">
        <f>F57*1.4</f>
        <v>347814.6</v>
      </c>
      <c r="I57" s="379">
        <f>H57</f>
        <v>347814.6</v>
      </c>
      <c r="J57" s="379">
        <f>I57</f>
        <v>347814.6</v>
      </c>
      <c r="K57" s="379">
        <f>J57*1.4</f>
        <v>486940.44</v>
      </c>
      <c r="L57" s="379">
        <f>K57</f>
        <v>486940.44</v>
      </c>
      <c r="M57" s="379">
        <f>L57</f>
        <v>486940.44</v>
      </c>
      <c r="N57" s="379">
        <f>M57*1.4</f>
        <v>681716.616</v>
      </c>
      <c r="O57" s="379">
        <f>N57</f>
        <v>681716.616</v>
      </c>
      <c r="P57" s="379">
        <f>O57</f>
        <v>681716.616</v>
      </c>
      <c r="Q57" s="379">
        <f>P57*1.4</f>
        <v>954403.2624</v>
      </c>
    </row>
    <row r="58" ht="14.25" customHeight="1" spans="2:17">
      <c r="B58" s="346" t="s">
        <v>279</v>
      </c>
      <c r="C58" s="378">
        <v>-42402</v>
      </c>
      <c r="D58" s="378">
        <v>-41394</v>
      </c>
      <c r="E58" s="378">
        <v>-122056</v>
      </c>
      <c r="F58" s="378">
        <f>14599+-96395-9126</f>
        <v>-90922</v>
      </c>
      <c r="G58" s="378"/>
      <c r="H58" s="379">
        <f>F58*1.4</f>
        <v>-127290.8</v>
      </c>
      <c r="I58" s="379">
        <f>H58</f>
        <v>-127290.8</v>
      </c>
      <c r="J58" s="379">
        <f>I58</f>
        <v>-127290.8</v>
      </c>
      <c r="K58" s="379">
        <f>J58*1.4</f>
        <v>-178207.12</v>
      </c>
      <c r="L58" s="379">
        <f>K58</f>
        <v>-178207.12</v>
      </c>
      <c r="M58" s="379">
        <f>L58</f>
        <v>-178207.12</v>
      </c>
      <c r="N58" s="379">
        <f>M58*1.4</f>
        <v>-249489.968</v>
      </c>
      <c r="O58" s="379">
        <f>N58</f>
        <v>-249489.968</v>
      </c>
      <c r="P58" s="379">
        <f>O58</f>
        <v>-249489.968</v>
      </c>
      <c r="Q58" s="379">
        <f>P58*1.4</f>
        <v>-349285.9552</v>
      </c>
    </row>
    <row r="59" ht="14.25" customHeight="1" spans="2:17">
      <c r="B59" s="346" t="s">
        <v>280</v>
      </c>
      <c r="C59" s="378">
        <v>-3930</v>
      </c>
      <c r="D59" s="378">
        <v>-9758</v>
      </c>
      <c r="E59" s="378">
        <v>-59072</v>
      </c>
      <c r="F59" s="378">
        <v>4363</v>
      </c>
      <c r="G59" s="378"/>
      <c r="H59" s="379">
        <f>F59*1.4</f>
        <v>6108.2</v>
      </c>
      <c r="I59" s="379">
        <f>H59</f>
        <v>6108.2</v>
      </c>
      <c r="J59" s="379">
        <f>I59</f>
        <v>6108.2</v>
      </c>
      <c r="K59" s="379">
        <f>J59*1.4</f>
        <v>8551.48</v>
      </c>
      <c r="L59" s="379">
        <f>K59</f>
        <v>8551.48</v>
      </c>
      <c r="M59" s="379">
        <f>L59</f>
        <v>8551.48</v>
      </c>
      <c r="N59" s="379">
        <f>M59*1.4</f>
        <v>11972.072</v>
      </c>
      <c r="O59" s="379">
        <f>N59</f>
        <v>11972.072</v>
      </c>
      <c r="P59" s="379">
        <f>O59</f>
        <v>11972.072</v>
      </c>
      <c r="Q59" s="379">
        <f>P59*1.4</f>
        <v>16760.9008</v>
      </c>
    </row>
    <row r="60" ht="14.25" customHeight="1" spans="2:17">
      <c r="B60" s="355" t="s">
        <v>284</v>
      </c>
      <c r="C60" s="257">
        <f t="shared" ref="C60:Q60" si="17">SUM(C56:C59)</f>
        <v>1230809</v>
      </c>
      <c r="D60" s="257">
        <f t="shared" si="17"/>
        <v>1376394</v>
      </c>
      <c r="E60" s="257">
        <f t="shared" si="17"/>
        <v>1407191</v>
      </c>
      <c r="F60" s="257">
        <f t="shared" si="17"/>
        <v>1569071</v>
      </c>
      <c r="G60" s="257">
        <f t="shared" si="17"/>
        <v>1569071</v>
      </c>
      <c r="H60" s="377">
        <f t="shared" si="17"/>
        <v>1795703</v>
      </c>
      <c r="I60" s="377">
        <f t="shared" si="17"/>
        <v>2022335</v>
      </c>
      <c r="J60" s="377">
        <f t="shared" si="17"/>
        <v>2248967</v>
      </c>
      <c r="K60" s="377">
        <f t="shared" si="17"/>
        <v>2566251.8</v>
      </c>
      <c r="L60" s="377">
        <f t="shared" si="17"/>
        <v>2883536.6</v>
      </c>
      <c r="M60" s="377">
        <f t="shared" si="17"/>
        <v>3200821.4</v>
      </c>
      <c r="N60" s="377">
        <f t="shared" si="17"/>
        <v>3645020.12</v>
      </c>
      <c r="O60" s="377">
        <f t="shared" si="17"/>
        <v>4089218.84</v>
      </c>
      <c r="P60" s="377">
        <f t="shared" si="17"/>
        <v>4533417.56</v>
      </c>
      <c r="Q60" s="377">
        <f t="shared" si="17"/>
        <v>5155295.768</v>
      </c>
    </row>
    <row r="61" ht="14.25" customHeight="1" spans="2:17">
      <c r="B61" s="346"/>
      <c r="C61" s="378"/>
      <c r="D61" s="378"/>
      <c r="E61" s="378"/>
      <c r="F61" s="378"/>
      <c r="G61" s="378"/>
      <c r="H61" s="13"/>
      <c r="I61" s="13"/>
      <c r="J61" s="13"/>
      <c r="K61" s="13"/>
      <c r="L61" s="13"/>
      <c r="M61" s="13"/>
      <c r="N61" s="13"/>
      <c r="O61" s="13"/>
      <c r="P61" s="13"/>
      <c r="Q61" s="13"/>
    </row>
    <row r="62" ht="14.25" customHeight="1" spans="2:17">
      <c r="B62" s="383" t="s">
        <v>285</v>
      </c>
      <c r="C62" s="383">
        <f t="shared" ref="C62:Q62" si="18">+C54-C60</f>
        <v>874586</v>
      </c>
      <c r="D62" s="383">
        <f t="shared" si="18"/>
        <v>908497</v>
      </c>
      <c r="E62" s="383">
        <f t="shared" si="18"/>
        <v>1024159</v>
      </c>
      <c r="F62" s="383">
        <f t="shared" si="18"/>
        <v>1381023</v>
      </c>
      <c r="G62" s="383">
        <f t="shared" si="18"/>
        <v>1518613</v>
      </c>
      <c r="H62" s="385">
        <f t="shared" si="18"/>
        <v>2018222.6</v>
      </c>
      <c r="I62" s="385">
        <f t="shared" si="18"/>
        <v>2517832.2</v>
      </c>
      <c r="J62" s="385">
        <f t="shared" si="18"/>
        <v>3017441.8</v>
      </c>
      <c r="K62" s="385">
        <f t="shared" si="18"/>
        <v>3716895.24</v>
      </c>
      <c r="L62" s="385">
        <f t="shared" si="18"/>
        <v>4416348.68</v>
      </c>
      <c r="M62" s="385">
        <f t="shared" si="18"/>
        <v>5115802.12</v>
      </c>
      <c r="N62" s="385">
        <f t="shared" si="18"/>
        <v>6095036.936</v>
      </c>
      <c r="O62" s="385">
        <f t="shared" si="18"/>
        <v>7074271.752</v>
      </c>
      <c r="P62" s="385">
        <f t="shared" si="18"/>
        <v>8053506.568</v>
      </c>
      <c r="Q62" s="385">
        <f t="shared" si="18"/>
        <v>9424435.3104</v>
      </c>
    </row>
    <row r="63" ht="14.25" customHeight="1" spans="2:17">
      <c r="B63" s="346"/>
      <c r="C63" s="378"/>
      <c r="D63" s="378"/>
      <c r="E63" s="378"/>
      <c r="F63" s="378"/>
      <c r="G63" s="378"/>
      <c r="H63" s="13"/>
      <c r="I63" s="13"/>
      <c r="J63" s="13"/>
      <c r="K63" s="13"/>
      <c r="L63" s="13"/>
      <c r="M63" s="13"/>
      <c r="N63" s="13"/>
      <c r="O63" s="13"/>
      <c r="P63" s="13"/>
      <c r="Q63" s="13"/>
    </row>
    <row r="64" ht="14.25" customHeight="1" spans="2:17">
      <c r="B64" s="376" t="s">
        <v>289</v>
      </c>
      <c r="C64" s="257"/>
      <c r="D64" s="257"/>
      <c r="E64" s="257"/>
      <c r="F64" s="257"/>
      <c r="G64" s="257"/>
      <c r="H64" s="377"/>
      <c r="I64" s="377"/>
      <c r="J64" s="377"/>
      <c r="K64" s="377"/>
      <c r="L64" s="377"/>
      <c r="M64" s="377"/>
      <c r="N64" s="377"/>
      <c r="O64" s="377"/>
      <c r="P64" s="377"/>
      <c r="Q64" s="377"/>
    </row>
    <row r="65" ht="14.25" customHeight="1" spans="2:17">
      <c r="B65" s="355" t="s">
        <v>277</v>
      </c>
      <c r="C65" s="257">
        <v>4653</v>
      </c>
      <c r="D65" s="257">
        <f t="shared" ref="D65:Q65" si="19">+C69</f>
        <v>6701</v>
      </c>
      <c r="E65" s="257">
        <f t="shared" si="19"/>
        <v>7754</v>
      </c>
      <c r="F65" s="257">
        <f t="shared" si="19"/>
        <v>7133</v>
      </c>
      <c r="G65" s="257">
        <f t="shared" si="19"/>
        <v>8228</v>
      </c>
      <c r="H65" s="377">
        <f t="shared" si="19"/>
        <v>8228</v>
      </c>
      <c r="I65" s="377">
        <f t="shared" si="19"/>
        <v>9761</v>
      </c>
      <c r="J65" s="377">
        <f t="shared" si="19"/>
        <v>11294</v>
      </c>
      <c r="K65" s="377">
        <f t="shared" si="19"/>
        <v>12827</v>
      </c>
      <c r="L65" s="377">
        <f t="shared" si="19"/>
        <v>14973.2</v>
      </c>
      <c r="M65" s="377">
        <f t="shared" si="19"/>
        <v>17119.4</v>
      </c>
      <c r="N65" s="377">
        <f t="shared" si="19"/>
        <v>19265.6</v>
      </c>
      <c r="O65" s="377">
        <f t="shared" si="19"/>
        <v>22270.28</v>
      </c>
      <c r="P65" s="377">
        <f t="shared" si="19"/>
        <v>25274.96</v>
      </c>
      <c r="Q65" s="377">
        <f t="shared" si="19"/>
        <v>28279.64</v>
      </c>
    </row>
    <row r="66" ht="14.25" customHeight="1" spans="2:17">
      <c r="B66" s="346" t="s">
        <v>278</v>
      </c>
      <c r="C66" s="378">
        <v>2134</v>
      </c>
      <c r="D66" s="378">
        <v>1451</v>
      </c>
      <c r="E66" s="378">
        <v>912</v>
      </c>
      <c r="F66" s="378">
        <f>586+8</f>
        <v>594</v>
      </c>
      <c r="G66" s="378"/>
      <c r="H66" s="379">
        <f>F66*1.4</f>
        <v>831.6</v>
      </c>
      <c r="I66" s="379">
        <f>H66</f>
        <v>831.6</v>
      </c>
      <c r="J66" s="379">
        <f>I66</f>
        <v>831.6</v>
      </c>
      <c r="K66" s="379">
        <f>J66*1.4</f>
        <v>1164.24</v>
      </c>
      <c r="L66" s="379">
        <f>K66</f>
        <v>1164.24</v>
      </c>
      <c r="M66" s="379">
        <f>L66</f>
        <v>1164.24</v>
      </c>
      <c r="N66" s="379">
        <f>M66*1.4</f>
        <v>1629.936</v>
      </c>
      <c r="O66" s="379">
        <f>N66</f>
        <v>1629.936</v>
      </c>
      <c r="P66" s="379">
        <f>O66</f>
        <v>1629.936</v>
      </c>
      <c r="Q66" s="379">
        <f>P66*1.4</f>
        <v>2281.9104</v>
      </c>
    </row>
    <row r="67" ht="15" customHeight="1" spans="2:17">
      <c r="B67" s="346" t="s">
        <v>279</v>
      </c>
      <c r="C67" s="378">
        <v>-151</v>
      </c>
      <c r="D67" s="378">
        <v>-272</v>
      </c>
      <c r="E67" s="378">
        <v>-498</v>
      </c>
      <c r="F67" s="378">
        <f>335+-48-10</f>
        <v>277</v>
      </c>
      <c r="G67" s="378"/>
      <c r="H67" s="379">
        <f>F67*1.4</f>
        <v>387.8</v>
      </c>
      <c r="I67" s="379">
        <f>H67</f>
        <v>387.8</v>
      </c>
      <c r="J67" s="379">
        <f>I67</f>
        <v>387.8</v>
      </c>
      <c r="K67" s="379">
        <f>J67*1.4</f>
        <v>542.92</v>
      </c>
      <c r="L67" s="379">
        <f>K67</f>
        <v>542.92</v>
      </c>
      <c r="M67" s="379">
        <f>L67</f>
        <v>542.92</v>
      </c>
      <c r="N67" s="379">
        <f>M67*1.4</f>
        <v>760.088</v>
      </c>
      <c r="O67" s="379">
        <f>N67</f>
        <v>760.088</v>
      </c>
      <c r="P67" s="379">
        <f>O67</f>
        <v>760.088</v>
      </c>
      <c r="Q67" s="379">
        <f>P67*1.4</f>
        <v>1064.1232</v>
      </c>
    </row>
    <row r="68" ht="15" customHeight="1" spans="2:17">
      <c r="B68" s="346" t="s">
        <v>290</v>
      </c>
      <c r="C68" s="378">
        <v>65</v>
      </c>
      <c r="D68" s="378">
        <v>-126</v>
      </c>
      <c r="E68" s="378">
        <v>-1035</v>
      </c>
      <c r="F68" s="378">
        <v>224</v>
      </c>
      <c r="G68" s="378"/>
      <c r="H68" s="379">
        <f>F68*1.4</f>
        <v>313.6</v>
      </c>
      <c r="I68" s="379">
        <f>H68</f>
        <v>313.6</v>
      </c>
      <c r="J68" s="379">
        <f>I68</f>
        <v>313.6</v>
      </c>
      <c r="K68" s="379">
        <f>J68*1.4</f>
        <v>439.04</v>
      </c>
      <c r="L68" s="379">
        <f>K68</f>
        <v>439.04</v>
      </c>
      <c r="M68" s="379">
        <f>L68</f>
        <v>439.04</v>
      </c>
      <c r="N68" s="379">
        <f>M68*1.4</f>
        <v>614.656</v>
      </c>
      <c r="O68" s="379">
        <f>N68</f>
        <v>614.656</v>
      </c>
      <c r="P68" s="379">
        <f>O68</f>
        <v>614.656</v>
      </c>
      <c r="Q68" s="379">
        <f>P68*1.4</f>
        <v>860.5184</v>
      </c>
    </row>
    <row r="69" ht="14.25" customHeight="1" spans="2:17">
      <c r="B69" s="355" t="s">
        <v>281</v>
      </c>
      <c r="C69" s="257">
        <f t="shared" ref="C69:Q69" si="20">SUM(C65:C68)</f>
        <v>6701</v>
      </c>
      <c r="D69" s="257">
        <f t="shared" si="20"/>
        <v>7754</v>
      </c>
      <c r="E69" s="257">
        <f t="shared" si="20"/>
        <v>7133</v>
      </c>
      <c r="F69" s="257">
        <f t="shared" si="20"/>
        <v>8228</v>
      </c>
      <c r="G69" s="257">
        <f t="shared" si="20"/>
        <v>8228</v>
      </c>
      <c r="H69" s="377">
        <f t="shared" si="20"/>
        <v>9761</v>
      </c>
      <c r="I69" s="377">
        <f t="shared" si="20"/>
        <v>11294</v>
      </c>
      <c r="J69" s="377">
        <f t="shared" si="20"/>
        <v>12827</v>
      </c>
      <c r="K69" s="377">
        <f t="shared" si="20"/>
        <v>14973.2</v>
      </c>
      <c r="L69" s="377">
        <f t="shared" si="20"/>
        <v>17119.4</v>
      </c>
      <c r="M69" s="377">
        <f t="shared" si="20"/>
        <v>19265.6</v>
      </c>
      <c r="N69" s="377">
        <f t="shared" si="20"/>
        <v>22270.28</v>
      </c>
      <c r="O69" s="377">
        <f t="shared" si="20"/>
        <v>25274.96</v>
      </c>
      <c r="P69" s="377">
        <f t="shared" si="20"/>
        <v>28279.64</v>
      </c>
      <c r="Q69" s="377">
        <f t="shared" si="20"/>
        <v>32486.192</v>
      </c>
    </row>
    <row r="70" ht="14.25" customHeight="1" spans="2:17">
      <c r="B70" s="355"/>
      <c r="C70" s="388"/>
      <c r="D70" s="388"/>
      <c r="E70" s="388"/>
      <c r="F70" s="388"/>
      <c r="G70" s="388"/>
      <c r="H70" s="377"/>
      <c r="I70" s="377"/>
      <c r="J70" s="377"/>
      <c r="K70" s="377"/>
      <c r="L70" s="377"/>
      <c r="M70" s="377"/>
      <c r="N70" s="377"/>
      <c r="O70" s="377"/>
      <c r="P70" s="377"/>
      <c r="Q70" s="377"/>
    </row>
    <row r="71" ht="14.25" customHeight="1" spans="2:17">
      <c r="B71" s="355" t="s">
        <v>282</v>
      </c>
      <c r="C71" s="257">
        <v>3417</v>
      </c>
      <c r="D71" s="257">
        <f t="shared" ref="D71:Q71" si="21">+C75</f>
        <v>4058</v>
      </c>
      <c r="E71" s="257">
        <f t="shared" si="21"/>
        <v>4829</v>
      </c>
      <c r="F71" s="257">
        <f t="shared" si="21"/>
        <v>4828</v>
      </c>
      <c r="G71" s="257">
        <f t="shared" si="21"/>
        <v>6358</v>
      </c>
      <c r="H71" s="377">
        <f t="shared" si="21"/>
        <v>6358</v>
      </c>
      <c r="I71" s="377">
        <f t="shared" si="21"/>
        <v>8500</v>
      </c>
      <c r="J71" s="377">
        <f t="shared" si="21"/>
        <v>10642</v>
      </c>
      <c r="K71" s="377">
        <f t="shared" si="21"/>
        <v>12784</v>
      </c>
      <c r="L71" s="377">
        <f t="shared" si="21"/>
        <v>15782.8</v>
      </c>
      <c r="M71" s="377">
        <f t="shared" si="21"/>
        <v>18781.6</v>
      </c>
      <c r="N71" s="377">
        <f t="shared" si="21"/>
        <v>21780.4</v>
      </c>
      <c r="O71" s="377">
        <f t="shared" si="21"/>
        <v>25978.72</v>
      </c>
      <c r="P71" s="377">
        <f t="shared" si="21"/>
        <v>30177.04</v>
      </c>
      <c r="Q71" s="377">
        <f t="shared" si="21"/>
        <v>34375.36</v>
      </c>
    </row>
    <row r="72" ht="14.25" customHeight="1" spans="2:17">
      <c r="B72" s="346" t="s">
        <v>283</v>
      </c>
      <c r="C72" s="378">
        <v>764</v>
      </c>
      <c r="D72" s="378">
        <v>1069</v>
      </c>
      <c r="E72" s="378">
        <v>1099</v>
      </c>
      <c r="F72" s="378">
        <v>1145</v>
      </c>
      <c r="G72" s="378"/>
      <c r="H72" s="379">
        <f>F72*1.4</f>
        <v>1603</v>
      </c>
      <c r="I72" s="379">
        <f>H72</f>
        <v>1603</v>
      </c>
      <c r="J72" s="379">
        <f>I72</f>
        <v>1603</v>
      </c>
      <c r="K72" s="379">
        <f>J72*1.4</f>
        <v>2244.2</v>
      </c>
      <c r="L72" s="379">
        <f>K72</f>
        <v>2244.2</v>
      </c>
      <c r="M72" s="379">
        <f>L72</f>
        <v>2244.2</v>
      </c>
      <c r="N72" s="379">
        <f>M72*1.4</f>
        <v>3141.88</v>
      </c>
      <c r="O72" s="379">
        <f>N72</f>
        <v>3141.88</v>
      </c>
      <c r="P72" s="379">
        <f>O72</f>
        <v>3141.88</v>
      </c>
      <c r="Q72" s="379">
        <f>P72*1.4</f>
        <v>4398.632</v>
      </c>
    </row>
    <row r="73" ht="14.25" customHeight="1" spans="2:17">
      <c r="B73" s="346" t="s">
        <v>279</v>
      </c>
      <c r="C73" s="378">
        <v>-164</v>
      </c>
      <c r="D73" s="378">
        <v>-230</v>
      </c>
      <c r="E73" s="378">
        <v>-461</v>
      </c>
      <c r="F73" s="378">
        <f>267-80-10</f>
        <v>177</v>
      </c>
      <c r="G73" s="378"/>
      <c r="H73" s="379">
        <f>F73*1.4</f>
        <v>247.8</v>
      </c>
      <c r="I73" s="379">
        <f>H73</f>
        <v>247.8</v>
      </c>
      <c r="J73" s="379">
        <f>I73</f>
        <v>247.8</v>
      </c>
      <c r="K73" s="379">
        <f>J73*1.4</f>
        <v>346.92</v>
      </c>
      <c r="L73" s="379">
        <f>K73</f>
        <v>346.92</v>
      </c>
      <c r="M73" s="379">
        <f>L73</f>
        <v>346.92</v>
      </c>
      <c r="N73" s="379">
        <f>M73*1.4</f>
        <v>485.688</v>
      </c>
      <c r="O73" s="379">
        <f>N73</f>
        <v>485.688</v>
      </c>
      <c r="P73" s="379">
        <f>O73</f>
        <v>485.688</v>
      </c>
      <c r="Q73" s="379">
        <f>P73*1.4</f>
        <v>679.9632</v>
      </c>
    </row>
    <row r="74" ht="14.25" customHeight="1" spans="2:17">
      <c r="B74" s="346" t="s">
        <v>290</v>
      </c>
      <c r="C74" s="378">
        <v>41</v>
      </c>
      <c r="D74" s="378">
        <v>-68</v>
      </c>
      <c r="E74" s="378">
        <v>-639</v>
      </c>
      <c r="F74" s="378">
        <v>208</v>
      </c>
      <c r="G74" s="378"/>
      <c r="H74" s="379">
        <f>F74*1.4</f>
        <v>291.2</v>
      </c>
      <c r="I74" s="379">
        <f>H74</f>
        <v>291.2</v>
      </c>
      <c r="J74" s="379">
        <f>I74</f>
        <v>291.2</v>
      </c>
      <c r="K74" s="379">
        <f>J74*1.4</f>
        <v>407.68</v>
      </c>
      <c r="L74" s="379">
        <f>K74</f>
        <v>407.68</v>
      </c>
      <c r="M74" s="379">
        <f>L74</f>
        <v>407.68</v>
      </c>
      <c r="N74" s="379">
        <f>M74*1.4</f>
        <v>570.752</v>
      </c>
      <c r="O74" s="379">
        <f>N74</f>
        <v>570.752</v>
      </c>
      <c r="P74" s="379">
        <f>O74</f>
        <v>570.752</v>
      </c>
      <c r="Q74" s="379">
        <f>P74*1.4</f>
        <v>799.0528</v>
      </c>
    </row>
    <row r="75" ht="14.25" customHeight="1" spans="2:17">
      <c r="B75" s="355" t="s">
        <v>284</v>
      </c>
      <c r="C75" s="257">
        <f t="shared" ref="C75:Q75" si="22">SUM(C71:C74)</f>
        <v>4058</v>
      </c>
      <c r="D75" s="257">
        <f t="shared" si="22"/>
        <v>4829</v>
      </c>
      <c r="E75" s="257">
        <f t="shared" si="22"/>
        <v>4828</v>
      </c>
      <c r="F75" s="257">
        <f t="shared" si="22"/>
        <v>6358</v>
      </c>
      <c r="G75" s="257">
        <f t="shared" si="22"/>
        <v>6358</v>
      </c>
      <c r="H75" s="377">
        <f t="shared" si="22"/>
        <v>8500</v>
      </c>
      <c r="I75" s="377">
        <f t="shared" si="22"/>
        <v>10642</v>
      </c>
      <c r="J75" s="377">
        <f t="shared" si="22"/>
        <v>12784</v>
      </c>
      <c r="K75" s="377">
        <f t="shared" si="22"/>
        <v>15782.8</v>
      </c>
      <c r="L75" s="377">
        <f t="shared" si="22"/>
        <v>18781.6</v>
      </c>
      <c r="M75" s="377">
        <f t="shared" si="22"/>
        <v>21780.4</v>
      </c>
      <c r="N75" s="377">
        <f t="shared" si="22"/>
        <v>25978.72</v>
      </c>
      <c r="O75" s="377">
        <f t="shared" si="22"/>
        <v>30177.04</v>
      </c>
      <c r="P75" s="377">
        <f t="shared" si="22"/>
        <v>34375.36</v>
      </c>
      <c r="Q75" s="377">
        <f t="shared" si="22"/>
        <v>40253.008</v>
      </c>
    </row>
    <row r="76" ht="14.25" customHeight="1" spans="2:17">
      <c r="B76" s="346"/>
      <c r="C76" s="378"/>
      <c r="D76" s="378"/>
      <c r="E76" s="378"/>
      <c r="F76" s="378"/>
      <c r="G76" s="378"/>
      <c r="H76" s="13"/>
      <c r="I76" s="13"/>
      <c r="J76" s="13"/>
      <c r="K76" s="13"/>
      <c r="L76" s="13"/>
      <c r="M76" s="13"/>
      <c r="N76" s="13"/>
      <c r="O76" s="13"/>
      <c r="P76" s="13"/>
      <c r="Q76" s="13"/>
    </row>
    <row r="77" ht="14.25" customHeight="1" spans="2:17">
      <c r="B77" s="384" t="s">
        <v>285</v>
      </c>
      <c r="C77" s="384">
        <f t="shared" ref="C77:Q77" si="23">+C69-C75</f>
        <v>2643</v>
      </c>
      <c r="D77" s="383">
        <f t="shared" si="23"/>
        <v>2925</v>
      </c>
      <c r="E77" s="383">
        <f t="shared" si="23"/>
        <v>2305</v>
      </c>
      <c r="F77" s="383">
        <f t="shared" si="23"/>
        <v>1870</v>
      </c>
      <c r="G77" s="383">
        <f t="shared" si="23"/>
        <v>1870</v>
      </c>
      <c r="H77" s="385">
        <f t="shared" si="23"/>
        <v>1261</v>
      </c>
      <c r="I77" s="385">
        <f t="shared" si="23"/>
        <v>652</v>
      </c>
      <c r="J77" s="385">
        <f t="shared" si="23"/>
        <v>43</v>
      </c>
      <c r="K77" s="385">
        <f t="shared" si="23"/>
        <v>-809.600000000002</v>
      </c>
      <c r="L77" s="385">
        <f t="shared" si="23"/>
        <v>-1662.2</v>
      </c>
      <c r="M77" s="385">
        <f t="shared" si="23"/>
        <v>-2514.8</v>
      </c>
      <c r="N77" s="385">
        <f t="shared" si="23"/>
        <v>-3708.44</v>
      </c>
      <c r="O77" s="385">
        <f t="shared" si="23"/>
        <v>-4902.08</v>
      </c>
      <c r="P77" s="385">
        <f t="shared" si="23"/>
        <v>-6095.72</v>
      </c>
      <c r="Q77" s="385">
        <f t="shared" si="23"/>
        <v>-7766.816</v>
      </c>
    </row>
    <row r="78" ht="14.25" customHeight="1" spans="2:17">
      <c r="B78" s="346"/>
      <c r="C78" s="378"/>
      <c r="D78" s="378"/>
      <c r="E78" s="378"/>
      <c r="F78" s="378"/>
      <c r="G78" s="378"/>
      <c r="H78" s="13"/>
      <c r="I78" s="13"/>
      <c r="J78" s="13"/>
      <c r="K78" s="13"/>
      <c r="L78" s="13"/>
      <c r="M78" s="13"/>
      <c r="N78" s="13"/>
      <c r="O78" s="13"/>
      <c r="P78" s="13"/>
      <c r="Q78" s="13"/>
    </row>
    <row r="79" ht="15" customHeight="1" spans="2:17">
      <c r="B79" s="298" t="s">
        <v>291</v>
      </c>
      <c r="C79" s="257"/>
      <c r="D79" s="257"/>
      <c r="E79" s="257"/>
      <c r="F79" s="257"/>
      <c r="G79" s="257"/>
      <c r="H79" s="377"/>
      <c r="I79" s="377"/>
      <c r="J79" s="377"/>
      <c r="K79" s="377"/>
      <c r="L79" s="377"/>
      <c r="M79" s="377"/>
      <c r="N79" s="377"/>
      <c r="O79" s="377"/>
      <c r="P79" s="377"/>
      <c r="Q79" s="377"/>
    </row>
    <row r="80" ht="14.25" customHeight="1" spans="2:17">
      <c r="B80" s="355" t="s">
        <v>277</v>
      </c>
      <c r="C80" s="257">
        <v>2047</v>
      </c>
      <c r="D80" s="257">
        <f t="shared" ref="D80:Q80" si="24">+C84</f>
        <v>1892</v>
      </c>
      <c r="E80" s="257">
        <f t="shared" si="24"/>
        <v>1982</v>
      </c>
      <c r="F80" s="257">
        <f t="shared" si="24"/>
        <v>1996</v>
      </c>
      <c r="G80" s="257">
        <f t="shared" si="24"/>
        <v>2629</v>
      </c>
      <c r="H80" s="377">
        <f t="shared" si="24"/>
        <v>2629</v>
      </c>
      <c r="I80" s="377">
        <f t="shared" si="24"/>
        <v>3515.2</v>
      </c>
      <c r="J80" s="377">
        <f t="shared" si="24"/>
        <v>4401.4</v>
      </c>
      <c r="K80" s="377">
        <f t="shared" si="24"/>
        <v>5287.6</v>
      </c>
      <c r="L80" s="377">
        <f t="shared" si="24"/>
        <v>6528.28</v>
      </c>
      <c r="M80" s="377">
        <f t="shared" si="24"/>
        <v>7768.96</v>
      </c>
      <c r="N80" s="377">
        <f t="shared" si="24"/>
        <v>9009.64</v>
      </c>
      <c r="O80" s="377">
        <f t="shared" si="24"/>
        <v>10746.592</v>
      </c>
      <c r="P80" s="377">
        <f t="shared" si="24"/>
        <v>12483.544</v>
      </c>
      <c r="Q80" s="377">
        <f t="shared" si="24"/>
        <v>14220.496</v>
      </c>
    </row>
    <row r="81" ht="14.25" customHeight="1" spans="2:17">
      <c r="B81" s="346" t="s">
        <v>278</v>
      </c>
      <c r="C81" s="378">
        <v>57</v>
      </c>
      <c r="D81" s="378">
        <v>36</v>
      </c>
      <c r="E81" s="378"/>
      <c r="F81" s="378">
        <f>190+402</f>
        <v>592</v>
      </c>
      <c r="G81" s="378"/>
      <c r="H81" s="379">
        <f>F81*1.4</f>
        <v>828.8</v>
      </c>
      <c r="I81" s="379">
        <f>H81</f>
        <v>828.8</v>
      </c>
      <c r="J81" s="379">
        <f>I81</f>
        <v>828.8</v>
      </c>
      <c r="K81" s="379">
        <f>J81*1.4</f>
        <v>1160.32</v>
      </c>
      <c r="L81" s="379">
        <f>K81</f>
        <v>1160.32</v>
      </c>
      <c r="M81" s="379">
        <f>L81</f>
        <v>1160.32</v>
      </c>
      <c r="N81" s="379">
        <f>M81*1.4</f>
        <v>1624.448</v>
      </c>
      <c r="O81" s="379">
        <f>N81</f>
        <v>1624.448</v>
      </c>
      <c r="P81" s="379">
        <f>O81</f>
        <v>1624.448</v>
      </c>
      <c r="Q81" s="379">
        <f>P81*1.4</f>
        <v>2274.2272</v>
      </c>
    </row>
    <row r="82" ht="14.25" customHeight="1" spans="2:17">
      <c r="B82" s="346" t="s">
        <v>279</v>
      </c>
      <c r="C82" s="378">
        <v>-231</v>
      </c>
      <c r="D82" s="378">
        <v>-41</v>
      </c>
      <c r="E82" s="378"/>
      <c r="F82" s="378">
        <f>65-49</f>
        <v>16</v>
      </c>
      <c r="G82" s="378"/>
      <c r="H82" s="379">
        <f>F82*1.4</f>
        <v>22.4</v>
      </c>
      <c r="I82" s="379">
        <f>H82</f>
        <v>22.4</v>
      </c>
      <c r="J82" s="379">
        <f>I82</f>
        <v>22.4</v>
      </c>
      <c r="K82" s="379">
        <f>J82*1.4</f>
        <v>31.36</v>
      </c>
      <c r="L82" s="379">
        <f>K82</f>
        <v>31.36</v>
      </c>
      <c r="M82" s="379">
        <f>L82</f>
        <v>31.36</v>
      </c>
      <c r="N82" s="379">
        <f>M82*1.4</f>
        <v>43.904</v>
      </c>
      <c r="O82" s="379">
        <f>N82</f>
        <v>43.904</v>
      </c>
      <c r="P82" s="379">
        <f>O82</f>
        <v>43.904</v>
      </c>
      <c r="Q82" s="379">
        <f>P82*1.4</f>
        <v>61.4656</v>
      </c>
    </row>
    <row r="83" ht="14.25" customHeight="1" spans="2:17">
      <c r="B83" s="346" t="s">
        <v>280</v>
      </c>
      <c r="C83" s="378">
        <v>19</v>
      </c>
      <c r="D83" s="378">
        <v>95</v>
      </c>
      <c r="E83" s="378">
        <v>14</v>
      </c>
      <c r="F83" s="378">
        <v>25</v>
      </c>
      <c r="G83" s="378"/>
      <c r="H83" s="379">
        <f>F83*1.4</f>
        <v>35</v>
      </c>
      <c r="I83" s="379">
        <f>H83</f>
        <v>35</v>
      </c>
      <c r="J83" s="379">
        <f>I83</f>
        <v>35</v>
      </c>
      <c r="K83" s="379">
        <f>J83*1.4</f>
        <v>49</v>
      </c>
      <c r="L83" s="379">
        <f>K83</f>
        <v>49</v>
      </c>
      <c r="M83" s="379">
        <f>L83</f>
        <v>49</v>
      </c>
      <c r="N83" s="379">
        <f>M83*1.4</f>
        <v>68.6</v>
      </c>
      <c r="O83" s="379">
        <f>N83</f>
        <v>68.6</v>
      </c>
      <c r="P83" s="379">
        <f>O83</f>
        <v>68.6</v>
      </c>
      <c r="Q83" s="379">
        <f>P83*1.4</f>
        <v>96.04</v>
      </c>
    </row>
    <row r="84" ht="15" customHeight="1" spans="2:17">
      <c r="B84" s="355" t="s">
        <v>281</v>
      </c>
      <c r="C84" s="257">
        <f t="shared" ref="C84:Q84" si="25">SUM(C80:C83)</f>
        <v>1892</v>
      </c>
      <c r="D84" s="257">
        <f t="shared" si="25"/>
        <v>1982</v>
      </c>
      <c r="E84" s="257">
        <f t="shared" si="25"/>
        <v>1996</v>
      </c>
      <c r="F84" s="257">
        <f t="shared" si="25"/>
        <v>2629</v>
      </c>
      <c r="G84" s="257">
        <f t="shared" si="25"/>
        <v>2629</v>
      </c>
      <c r="H84" s="377">
        <f t="shared" si="25"/>
        <v>3515.2</v>
      </c>
      <c r="I84" s="377">
        <f t="shared" si="25"/>
        <v>4401.4</v>
      </c>
      <c r="J84" s="377">
        <f t="shared" si="25"/>
        <v>5287.6</v>
      </c>
      <c r="K84" s="377">
        <f t="shared" si="25"/>
        <v>6528.28</v>
      </c>
      <c r="L84" s="377">
        <f t="shared" si="25"/>
        <v>7768.96</v>
      </c>
      <c r="M84" s="377">
        <f t="shared" si="25"/>
        <v>9009.64</v>
      </c>
      <c r="N84" s="377">
        <f t="shared" si="25"/>
        <v>10746.592</v>
      </c>
      <c r="O84" s="377">
        <f t="shared" si="25"/>
        <v>12483.544</v>
      </c>
      <c r="P84" s="377">
        <f t="shared" si="25"/>
        <v>14220.496</v>
      </c>
      <c r="Q84" s="377">
        <f t="shared" si="25"/>
        <v>16652.2288</v>
      </c>
    </row>
    <row r="85" ht="15" customHeight="1" spans="2:17">
      <c r="B85" s="346"/>
      <c r="C85" s="11"/>
      <c r="D85" s="11"/>
      <c r="E85" s="11"/>
      <c r="F85" s="11"/>
      <c r="G85" s="11"/>
      <c r="H85" s="13"/>
      <c r="I85" s="13"/>
      <c r="J85" s="13"/>
      <c r="K85" s="13"/>
      <c r="L85" s="13"/>
      <c r="M85" s="13"/>
      <c r="N85" s="13"/>
      <c r="O85" s="13"/>
      <c r="P85" s="13"/>
      <c r="Q85" s="13"/>
    </row>
    <row r="86" ht="14.25" customHeight="1" spans="2:17">
      <c r="B86" s="355" t="s">
        <v>282</v>
      </c>
      <c r="C86" s="257">
        <v>1916</v>
      </c>
      <c r="D86" s="257">
        <f t="shared" ref="D86:Q86" si="26">+C90</f>
        <v>1734</v>
      </c>
      <c r="E86" s="257">
        <f t="shared" si="26"/>
        <v>1774</v>
      </c>
      <c r="F86" s="257">
        <f t="shared" si="26"/>
        <v>1887</v>
      </c>
      <c r="G86" s="257">
        <f t="shared" si="26"/>
        <v>2079</v>
      </c>
      <c r="H86" s="377">
        <f t="shared" si="26"/>
        <v>2079</v>
      </c>
      <c r="I86" s="377">
        <f t="shared" si="26"/>
        <v>2347.8</v>
      </c>
      <c r="J86" s="377">
        <f t="shared" si="26"/>
        <v>2616.6</v>
      </c>
      <c r="K86" s="377">
        <f t="shared" si="26"/>
        <v>2885.4</v>
      </c>
      <c r="L86" s="377">
        <f t="shared" si="26"/>
        <v>3261.72</v>
      </c>
      <c r="M86" s="377">
        <f t="shared" si="26"/>
        <v>3638.04</v>
      </c>
      <c r="N86" s="377">
        <f t="shared" si="26"/>
        <v>4014.36</v>
      </c>
      <c r="O86" s="377">
        <f t="shared" si="26"/>
        <v>4541.208</v>
      </c>
      <c r="P86" s="377">
        <f t="shared" si="26"/>
        <v>5068.056</v>
      </c>
      <c r="Q86" s="377">
        <f t="shared" si="26"/>
        <v>5594.904</v>
      </c>
    </row>
    <row r="87" ht="14.25" customHeight="1" spans="2:17">
      <c r="B87" s="346" t="s">
        <v>283</v>
      </c>
      <c r="C87" s="378">
        <v>24</v>
      </c>
      <c r="D87" s="378">
        <v>24</v>
      </c>
      <c r="E87" s="378">
        <v>23</v>
      </c>
      <c r="F87" s="378">
        <v>57</v>
      </c>
      <c r="G87" s="378"/>
      <c r="H87" s="13">
        <f>F87*1.4</f>
        <v>79.8</v>
      </c>
      <c r="I87" s="13">
        <f>H87</f>
        <v>79.8</v>
      </c>
      <c r="J87" s="13">
        <f>I87</f>
        <v>79.8</v>
      </c>
      <c r="K87" s="13">
        <f>J87*1.4</f>
        <v>111.72</v>
      </c>
      <c r="L87" s="13">
        <f>K87</f>
        <v>111.72</v>
      </c>
      <c r="M87" s="13">
        <f>L87</f>
        <v>111.72</v>
      </c>
      <c r="N87" s="13">
        <f>M87*1.4</f>
        <v>156.408</v>
      </c>
      <c r="O87" s="13">
        <f>N87</f>
        <v>156.408</v>
      </c>
      <c r="P87" s="13">
        <f>O87</f>
        <v>156.408</v>
      </c>
      <c r="Q87" s="13">
        <f>P87*1.4</f>
        <v>218.9712</v>
      </c>
    </row>
    <row r="88" ht="14.25" customHeight="1" spans="2:17">
      <c r="B88" s="346" t="s">
        <v>279</v>
      </c>
      <c r="C88" s="378">
        <v>-231</v>
      </c>
      <c r="D88" s="378">
        <v>-40</v>
      </c>
      <c r="E88" s="378">
        <v>100</v>
      </c>
      <c r="F88" s="378">
        <f>65+-37+0</f>
        <v>28</v>
      </c>
      <c r="G88" s="378"/>
      <c r="H88" s="13">
        <f>F88*1.4</f>
        <v>39.2</v>
      </c>
      <c r="I88" s="13">
        <f>H88</f>
        <v>39.2</v>
      </c>
      <c r="J88" s="13">
        <f>I88</f>
        <v>39.2</v>
      </c>
      <c r="K88" s="13">
        <f>J88*1.4</f>
        <v>54.88</v>
      </c>
      <c r="L88" s="13">
        <f>K88</f>
        <v>54.88</v>
      </c>
      <c r="M88" s="13">
        <f>L88</f>
        <v>54.88</v>
      </c>
      <c r="N88" s="13">
        <f>M88*1.4</f>
        <v>76.832</v>
      </c>
      <c r="O88" s="13">
        <f>N88</f>
        <v>76.832</v>
      </c>
      <c r="P88" s="13">
        <f>O88</f>
        <v>76.832</v>
      </c>
      <c r="Q88" s="13">
        <f>P88*1.4</f>
        <v>107.5648</v>
      </c>
    </row>
    <row r="89" ht="14.25" customHeight="1" spans="2:17">
      <c r="B89" s="346" t="s">
        <v>280</v>
      </c>
      <c r="C89" s="378">
        <v>25</v>
      </c>
      <c r="D89" s="378">
        <v>56</v>
      </c>
      <c r="E89" s="378">
        <v>-10</v>
      </c>
      <c r="F89" s="378">
        <v>107</v>
      </c>
      <c r="G89" s="378"/>
      <c r="H89" s="13">
        <f>F89*1.4</f>
        <v>149.8</v>
      </c>
      <c r="I89" s="13">
        <f>H89</f>
        <v>149.8</v>
      </c>
      <c r="J89" s="13">
        <f>I89</f>
        <v>149.8</v>
      </c>
      <c r="K89" s="13">
        <f>J89*1.4</f>
        <v>209.72</v>
      </c>
      <c r="L89" s="13">
        <f>K89</f>
        <v>209.72</v>
      </c>
      <c r="M89" s="13">
        <f>L89</f>
        <v>209.72</v>
      </c>
      <c r="N89" s="13">
        <f>M89*1.4</f>
        <v>293.608</v>
      </c>
      <c r="O89" s="13">
        <f>N89</f>
        <v>293.608</v>
      </c>
      <c r="P89" s="13">
        <f>O89</f>
        <v>293.608</v>
      </c>
      <c r="Q89" s="13">
        <f>P89*1.4</f>
        <v>411.0512</v>
      </c>
    </row>
    <row r="90" ht="14.25" customHeight="1" spans="2:17">
      <c r="B90" s="355" t="s">
        <v>284</v>
      </c>
      <c r="C90" s="257">
        <f t="shared" ref="C90:Q90" si="27">SUM(C86:C89)</f>
        <v>1734</v>
      </c>
      <c r="D90" s="257">
        <f t="shared" si="27"/>
        <v>1774</v>
      </c>
      <c r="E90" s="257">
        <f t="shared" si="27"/>
        <v>1887</v>
      </c>
      <c r="F90" s="257">
        <f t="shared" si="27"/>
        <v>2079</v>
      </c>
      <c r="G90" s="257">
        <f t="shared" si="27"/>
        <v>2079</v>
      </c>
      <c r="H90" s="377">
        <f t="shared" si="27"/>
        <v>2347.8</v>
      </c>
      <c r="I90" s="377">
        <f t="shared" si="27"/>
        <v>2616.6</v>
      </c>
      <c r="J90" s="377">
        <f t="shared" si="27"/>
        <v>2885.4</v>
      </c>
      <c r="K90" s="377">
        <f t="shared" si="27"/>
        <v>3261.72</v>
      </c>
      <c r="L90" s="377">
        <f t="shared" si="27"/>
        <v>3638.04</v>
      </c>
      <c r="M90" s="377">
        <f t="shared" si="27"/>
        <v>4014.36</v>
      </c>
      <c r="N90" s="377">
        <f t="shared" si="27"/>
        <v>4541.208</v>
      </c>
      <c r="O90" s="377">
        <f t="shared" si="27"/>
        <v>5068.056</v>
      </c>
      <c r="P90" s="377">
        <f t="shared" si="27"/>
        <v>5594.904</v>
      </c>
      <c r="Q90" s="377">
        <f t="shared" si="27"/>
        <v>6332.4912</v>
      </c>
    </row>
    <row r="91" ht="14.25" customHeight="1" spans="2:17">
      <c r="B91" s="346"/>
      <c r="C91" s="378"/>
      <c r="D91" s="378"/>
      <c r="E91" s="378"/>
      <c r="F91" s="378"/>
      <c r="G91" s="378"/>
      <c r="H91" s="13"/>
      <c r="I91" s="13"/>
      <c r="J91" s="13"/>
      <c r="K91" s="13"/>
      <c r="L91" s="13"/>
      <c r="M91" s="13"/>
      <c r="N91" s="13"/>
      <c r="O91" s="13"/>
      <c r="P91" s="13"/>
      <c r="Q91" s="13"/>
    </row>
    <row r="92" ht="14.25" customHeight="1" spans="2:17">
      <c r="B92" s="383" t="s">
        <v>285</v>
      </c>
      <c r="C92" s="384">
        <f t="shared" ref="C92:Q92" si="28">+C84-C90</f>
        <v>158</v>
      </c>
      <c r="D92" s="383">
        <f t="shared" si="28"/>
        <v>208</v>
      </c>
      <c r="E92" s="383">
        <f t="shared" si="28"/>
        <v>109</v>
      </c>
      <c r="F92" s="383">
        <f t="shared" si="28"/>
        <v>550</v>
      </c>
      <c r="G92" s="383">
        <f t="shared" si="28"/>
        <v>550</v>
      </c>
      <c r="H92" s="385">
        <f t="shared" si="28"/>
        <v>1167.4</v>
      </c>
      <c r="I92" s="385">
        <f t="shared" si="28"/>
        <v>1784.8</v>
      </c>
      <c r="J92" s="385">
        <f t="shared" si="28"/>
        <v>2402.2</v>
      </c>
      <c r="K92" s="385">
        <f t="shared" si="28"/>
        <v>3266.56</v>
      </c>
      <c r="L92" s="385">
        <f t="shared" si="28"/>
        <v>4130.92</v>
      </c>
      <c r="M92" s="385">
        <f t="shared" si="28"/>
        <v>4995.28</v>
      </c>
      <c r="N92" s="385">
        <f t="shared" si="28"/>
        <v>6205.384</v>
      </c>
      <c r="O92" s="385">
        <f t="shared" si="28"/>
        <v>7415.488</v>
      </c>
      <c r="P92" s="385">
        <f t="shared" si="28"/>
        <v>8625.592</v>
      </c>
      <c r="Q92" s="385">
        <f t="shared" si="28"/>
        <v>10319.7376</v>
      </c>
    </row>
    <row r="93" ht="14.25" customHeight="1" spans="2:17">
      <c r="B93" s="346"/>
      <c r="C93" s="378"/>
      <c r="D93" s="378"/>
      <c r="E93" s="378"/>
      <c r="F93" s="378"/>
      <c r="G93" s="378"/>
      <c r="H93" s="13"/>
      <c r="I93" s="13"/>
      <c r="J93" s="13"/>
      <c r="K93" s="13"/>
      <c r="L93" s="13"/>
      <c r="M93" s="13"/>
      <c r="N93" s="13"/>
      <c r="O93" s="13"/>
      <c r="P93" s="13"/>
      <c r="Q93" s="13"/>
    </row>
    <row r="94" ht="14.25" customHeight="1" spans="2:17">
      <c r="B94" s="376" t="s">
        <v>292</v>
      </c>
      <c r="C94" s="378"/>
      <c r="D94" s="378"/>
      <c r="E94" s="378"/>
      <c r="F94" s="378"/>
      <c r="G94" s="378"/>
      <c r="H94" s="13"/>
      <c r="I94" s="13"/>
      <c r="J94" s="13"/>
      <c r="K94" s="13"/>
      <c r="L94" s="13"/>
      <c r="M94" s="13"/>
      <c r="N94" s="13"/>
      <c r="O94" s="13"/>
      <c r="P94" s="13"/>
      <c r="Q94" s="13"/>
    </row>
    <row r="95" ht="15" customHeight="1" spans="2:17">
      <c r="B95" s="355" t="s">
        <v>277</v>
      </c>
      <c r="C95" s="257">
        <v>9449</v>
      </c>
      <c r="D95" s="257">
        <f t="shared" ref="D95:Q95" si="29">+C99</f>
        <v>10707</v>
      </c>
      <c r="E95" s="257">
        <f t="shared" si="29"/>
        <v>11905</v>
      </c>
      <c r="F95" s="257">
        <f t="shared" si="29"/>
        <v>12181</v>
      </c>
      <c r="G95" s="257">
        <f t="shared" si="29"/>
        <v>14818</v>
      </c>
      <c r="H95" s="377">
        <f t="shared" si="29"/>
        <v>14818</v>
      </c>
      <c r="I95" s="377">
        <f t="shared" si="29"/>
        <v>18509.8</v>
      </c>
      <c r="J95" s="377">
        <f t="shared" si="29"/>
        <v>22201.6</v>
      </c>
      <c r="K95" s="377">
        <f t="shared" si="29"/>
        <v>25893.4</v>
      </c>
      <c r="L95" s="377">
        <f t="shared" si="29"/>
        <v>31061.92</v>
      </c>
      <c r="M95" s="377">
        <f t="shared" si="29"/>
        <v>36230.44</v>
      </c>
      <c r="N95" s="377">
        <f t="shared" si="29"/>
        <v>41398.96</v>
      </c>
      <c r="O95" s="377">
        <f t="shared" si="29"/>
        <v>48634.888</v>
      </c>
      <c r="P95" s="377">
        <f t="shared" si="29"/>
        <v>55870.816</v>
      </c>
      <c r="Q95" s="377">
        <f t="shared" si="29"/>
        <v>63106.744</v>
      </c>
    </row>
    <row r="96" ht="14.25" customHeight="1" spans="2:17">
      <c r="B96" s="346" t="s">
        <v>278</v>
      </c>
      <c r="C96" s="378">
        <v>1491</v>
      </c>
      <c r="D96" s="378">
        <v>1721</v>
      </c>
      <c r="E96" s="378">
        <v>1959</v>
      </c>
      <c r="F96" s="378">
        <f>2780+69</f>
        <v>2849</v>
      </c>
      <c r="G96" s="378"/>
      <c r="H96" s="379">
        <f>F96*1.4</f>
        <v>3988.6</v>
      </c>
      <c r="I96" s="379">
        <f>H96</f>
        <v>3988.6</v>
      </c>
      <c r="J96" s="379">
        <f>I96</f>
        <v>3988.6</v>
      </c>
      <c r="K96" s="379">
        <f>J96*1.4</f>
        <v>5584.04</v>
      </c>
      <c r="L96" s="379">
        <f>K96</f>
        <v>5584.04</v>
      </c>
      <c r="M96" s="379">
        <f>L96</f>
        <v>5584.04</v>
      </c>
      <c r="N96" s="379">
        <f>M96*1.4</f>
        <v>7817.656</v>
      </c>
      <c r="O96" s="379">
        <f>N96</f>
        <v>7817.656</v>
      </c>
      <c r="P96" s="379">
        <f>O96</f>
        <v>7817.656</v>
      </c>
      <c r="Q96" s="379">
        <f>P96*1.4</f>
        <v>10944.7184</v>
      </c>
    </row>
    <row r="97" ht="14.25" customHeight="1" spans="2:17">
      <c r="B97" s="346" t="s">
        <v>279</v>
      </c>
      <c r="C97" s="378">
        <v>-354</v>
      </c>
      <c r="D97" s="378">
        <v>-308</v>
      </c>
      <c r="E97" s="378">
        <v>-242</v>
      </c>
      <c r="F97" s="378">
        <f>321-858-14</f>
        <v>-551</v>
      </c>
      <c r="G97" s="378"/>
      <c r="H97" s="379">
        <f>F97*1.4</f>
        <v>-771.4</v>
      </c>
      <c r="I97" s="379">
        <f>H97</f>
        <v>-771.4</v>
      </c>
      <c r="J97" s="379">
        <f>I97</f>
        <v>-771.4</v>
      </c>
      <c r="K97" s="379">
        <f>J97*1.4</f>
        <v>-1079.96</v>
      </c>
      <c r="L97" s="379">
        <f>K97</f>
        <v>-1079.96</v>
      </c>
      <c r="M97" s="379">
        <f>L97</f>
        <v>-1079.96</v>
      </c>
      <c r="N97" s="379">
        <f>M97*1.4</f>
        <v>-1511.944</v>
      </c>
      <c r="O97" s="379">
        <f>N97</f>
        <v>-1511.944</v>
      </c>
      <c r="P97" s="379">
        <f>O97</f>
        <v>-1511.944</v>
      </c>
      <c r="Q97" s="379">
        <f>P97*1.4</f>
        <v>-2116.7216</v>
      </c>
    </row>
    <row r="98" ht="14.25" customHeight="1" spans="2:17">
      <c r="B98" s="346" t="s">
        <v>280</v>
      </c>
      <c r="C98" s="378">
        <v>121</v>
      </c>
      <c r="D98" s="378">
        <v>-215</v>
      </c>
      <c r="E98" s="378">
        <v>-1441</v>
      </c>
      <c r="F98" s="378">
        <v>339</v>
      </c>
      <c r="G98" s="378"/>
      <c r="H98" s="379">
        <f>F98*1.4</f>
        <v>474.6</v>
      </c>
      <c r="I98" s="379">
        <f>H98</f>
        <v>474.6</v>
      </c>
      <c r="J98" s="379">
        <f>I98</f>
        <v>474.6</v>
      </c>
      <c r="K98" s="379">
        <f>J98*1.4</f>
        <v>664.44</v>
      </c>
      <c r="L98" s="379">
        <f>K98</f>
        <v>664.44</v>
      </c>
      <c r="M98" s="379">
        <f>L98</f>
        <v>664.44</v>
      </c>
      <c r="N98" s="379">
        <f>M98*1.4</f>
        <v>930.216</v>
      </c>
      <c r="O98" s="379">
        <f>N98</f>
        <v>930.216</v>
      </c>
      <c r="P98" s="379">
        <f>O98</f>
        <v>930.216</v>
      </c>
      <c r="Q98" s="379">
        <f>P98*1.4</f>
        <v>1302.3024</v>
      </c>
    </row>
    <row r="99" ht="14.25" customHeight="1" spans="2:17">
      <c r="B99" s="355" t="s">
        <v>281</v>
      </c>
      <c r="C99" s="257">
        <f t="shared" ref="C99:Q99" si="30">SUM(C95:C98)</f>
        <v>10707</v>
      </c>
      <c r="D99" s="257">
        <f t="shared" si="30"/>
        <v>11905</v>
      </c>
      <c r="E99" s="257">
        <f t="shared" si="30"/>
        <v>12181</v>
      </c>
      <c r="F99" s="257">
        <f t="shared" si="30"/>
        <v>14818</v>
      </c>
      <c r="G99" s="257">
        <f t="shared" si="30"/>
        <v>14818</v>
      </c>
      <c r="H99" s="377">
        <f t="shared" si="30"/>
        <v>18509.8</v>
      </c>
      <c r="I99" s="377">
        <f t="shared" si="30"/>
        <v>22201.6</v>
      </c>
      <c r="J99" s="377">
        <f t="shared" si="30"/>
        <v>25893.4</v>
      </c>
      <c r="K99" s="377">
        <f t="shared" si="30"/>
        <v>31061.92</v>
      </c>
      <c r="L99" s="377">
        <f t="shared" si="30"/>
        <v>36230.44</v>
      </c>
      <c r="M99" s="377">
        <f t="shared" si="30"/>
        <v>41398.96</v>
      </c>
      <c r="N99" s="377">
        <f t="shared" si="30"/>
        <v>48634.888</v>
      </c>
      <c r="O99" s="377">
        <f t="shared" si="30"/>
        <v>55870.816</v>
      </c>
      <c r="P99" s="377">
        <f t="shared" si="30"/>
        <v>63106.744</v>
      </c>
      <c r="Q99" s="377">
        <f t="shared" si="30"/>
        <v>73237.0432</v>
      </c>
    </row>
    <row r="100" ht="14.25" customHeight="1" spans="2:17">
      <c r="B100" s="346"/>
      <c r="C100" s="378"/>
      <c r="D100" s="378"/>
      <c r="E100" s="378"/>
      <c r="F100" s="378"/>
      <c r="G100" s="378"/>
      <c r="H100" s="13"/>
      <c r="I100" s="13"/>
      <c r="J100" s="13"/>
      <c r="K100" s="13"/>
      <c r="L100" s="13"/>
      <c r="M100" s="13"/>
      <c r="N100" s="13"/>
      <c r="O100" s="13"/>
      <c r="P100" s="13"/>
      <c r="Q100" s="13"/>
    </row>
    <row r="101" ht="14.25" customHeight="1" spans="2:17">
      <c r="B101" s="355" t="s">
        <v>282</v>
      </c>
      <c r="C101" s="257">
        <v>7317</v>
      </c>
      <c r="D101" s="257">
        <f t="shared" ref="D101:Q101" si="31">+C105</f>
        <v>8025</v>
      </c>
      <c r="E101" s="257">
        <f t="shared" si="31"/>
        <v>8959</v>
      </c>
      <c r="F101" s="257">
        <f t="shared" si="31"/>
        <v>9623</v>
      </c>
      <c r="G101" s="257">
        <f t="shared" si="31"/>
        <v>11244</v>
      </c>
      <c r="H101" s="377">
        <f t="shared" si="31"/>
        <v>11244</v>
      </c>
      <c r="I101" s="377">
        <f t="shared" si="31"/>
        <v>13513.4</v>
      </c>
      <c r="J101" s="377">
        <f t="shared" si="31"/>
        <v>15782.8</v>
      </c>
      <c r="K101" s="377">
        <f t="shared" si="31"/>
        <v>18052.2</v>
      </c>
      <c r="L101" s="377">
        <f t="shared" si="31"/>
        <v>21229.36</v>
      </c>
      <c r="M101" s="377">
        <f t="shared" si="31"/>
        <v>24406.52</v>
      </c>
      <c r="N101" s="377">
        <f t="shared" si="31"/>
        <v>27583.68</v>
      </c>
      <c r="O101" s="377">
        <f t="shared" si="31"/>
        <v>32031.704</v>
      </c>
      <c r="P101" s="377">
        <f t="shared" si="31"/>
        <v>36479.728</v>
      </c>
      <c r="Q101" s="377">
        <f t="shared" si="31"/>
        <v>40927.752</v>
      </c>
    </row>
    <row r="102" ht="14.25" customHeight="1" spans="2:17">
      <c r="B102" s="346" t="s">
        <v>283</v>
      </c>
      <c r="C102" s="378">
        <v>986</v>
      </c>
      <c r="D102" s="378">
        <v>1366</v>
      </c>
      <c r="E102" s="378">
        <v>1694</v>
      </c>
      <c r="F102" s="378">
        <v>1992</v>
      </c>
      <c r="G102" s="378"/>
      <c r="H102" s="379">
        <f>F102*1.4</f>
        <v>2788.8</v>
      </c>
      <c r="I102" s="379">
        <f>H102</f>
        <v>2788.8</v>
      </c>
      <c r="J102" s="379">
        <f>I102</f>
        <v>2788.8</v>
      </c>
      <c r="K102" s="379">
        <f>J102*1.4</f>
        <v>3904.32</v>
      </c>
      <c r="L102" s="379">
        <f>K102</f>
        <v>3904.32</v>
      </c>
      <c r="M102" s="379">
        <f>L102</f>
        <v>3904.32</v>
      </c>
      <c r="N102" s="379">
        <f>M102*1.4</f>
        <v>5466.048</v>
      </c>
      <c r="O102" s="379">
        <f>N102</f>
        <v>5466.048</v>
      </c>
      <c r="P102" s="379">
        <f>O102</f>
        <v>5466.048</v>
      </c>
      <c r="Q102" s="379">
        <f>P102*1.4</f>
        <v>7652.4672</v>
      </c>
    </row>
    <row r="103" ht="14.25" customHeight="1" spans="2:17">
      <c r="B103" s="346" t="s">
        <v>279</v>
      </c>
      <c r="C103" s="378">
        <v>-272</v>
      </c>
      <c r="D103" s="378">
        <v>-206</v>
      </c>
      <c r="E103" s="378">
        <v>46</v>
      </c>
      <c r="F103" s="378">
        <f>310-910-13</f>
        <v>-613</v>
      </c>
      <c r="G103" s="378"/>
      <c r="H103" s="379">
        <f>F103*1.4</f>
        <v>-858.2</v>
      </c>
      <c r="I103" s="379">
        <f>H103</f>
        <v>-858.2</v>
      </c>
      <c r="J103" s="379">
        <f>I103</f>
        <v>-858.2</v>
      </c>
      <c r="K103" s="379">
        <f>J103*1.4</f>
        <v>-1201.48</v>
      </c>
      <c r="L103" s="379">
        <f>K103</f>
        <v>-1201.48</v>
      </c>
      <c r="M103" s="379">
        <f>L103</f>
        <v>-1201.48</v>
      </c>
      <c r="N103" s="379">
        <f>M103*1.4</f>
        <v>-1682.072</v>
      </c>
      <c r="O103" s="379">
        <f>N103</f>
        <v>-1682.072</v>
      </c>
      <c r="P103" s="379">
        <f>O103</f>
        <v>-1682.072</v>
      </c>
      <c r="Q103" s="379">
        <f>P103*1.4</f>
        <v>-2354.9008</v>
      </c>
    </row>
    <row r="104" ht="14.25" customHeight="1" spans="2:17">
      <c r="B104" s="346" t="s">
        <v>280</v>
      </c>
      <c r="C104" s="378">
        <v>-6</v>
      </c>
      <c r="D104" s="378">
        <v>-226</v>
      </c>
      <c r="E104" s="378">
        <v>-1076</v>
      </c>
      <c r="F104" s="378">
        <v>242</v>
      </c>
      <c r="G104" s="378"/>
      <c r="H104" s="379">
        <f>F104*1.4</f>
        <v>338.8</v>
      </c>
      <c r="I104" s="379">
        <f>H104</f>
        <v>338.8</v>
      </c>
      <c r="J104" s="379">
        <f>I104</f>
        <v>338.8</v>
      </c>
      <c r="K104" s="379">
        <f>J104*1.4</f>
        <v>474.32</v>
      </c>
      <c r="L104" s="379">
        <f>K104</f>
        <v>474.32</v>
      </c>
      <c r="M104" s="379">
        <f>L104</f>
        <v>474.32</v>
      </c>
      <c r="N104" s="379">
        <f>M104*1.4</f>
        <v>664.048</v>
      </c>
      <c r="O104" s="379">
        <f>N104</f>
        <v>664.048</v>
      </c>
      <c r="P104" s="379">
        <f>O104</f>
        <v>664.048</v>
      </c>
      <c r="Q104" s="379">
        <f>P104*1.4</f>
        <v>929.6672</v>
      </c>
    </row>
    <row r="105" ht="14.25" customHeight="1" spans="2:17">
      <c r="B105" s="355" t="s">
        <v>284</v>
      </c>
      <c r="C105" s="257">
        <f t="shared" ref="C105:Q105" si="32">SUM(C101:C104)</f>
        <v>8025</v>
      </c>
      <c r="D105" s="257">
        <f t="shared" si="32"/>
        <v>8959</v>
      </c>
      <c r="E105" s="257">
        <f t="shared" si="32"/>
        <v>9623</v>
      </c>
      <c r="F105" s="257">
        <f t="shared" si="32"/>
        <v>11244</v>
      </c>
      <c r="G105" s="257">
        <f t="shared" si="32"/>
        <v>11244</v>
      </c>
      <c r="H105" s="377">
        <f t="shared" si="32"/>
        <v>13513.4</v>
      </c>
      <c r="I105" s="377">
        <f t="shared" si="32"/>
        <v>15782.8</v>
      </c>
      <c r="J105" s="377">
        <f t="shared" si="32"/>
        <v>18052.2</v>
      </c>
      <c r="K105" s="377">
        <f t="shared" si="32"/>
        <v>21229.36</v>
      </c>
      <c r="L105" s="377">
        <f t="shared" si="32"/>
        <v>24406.52</v>
      </c>
      <c r="M105" s="377">
        <f t="shared" si="32"/>
        <v>27583.68</v>
      </c>
      <c r="N105" s="377">
        <f t="shared" si="32"/>
        <v>32031.704</v>
      </c>
      <c r="O105" s="377">
        <f t="shared" si="32"/>
        <v>36479.728</v>
      </c>
      <c r="P105" s="377">
        <f t="shared" si="32"/>
        <v>40927.752</v>
      </c>
      <c r="Q105" s="377">
        <f t="shared" si="32"/>
        <v>47154.9856</v>
      </c>
    </row>
    <row r="106" ht="15" customHeight="1" spans="2:17">
      <c r="B106" s="355"/>
      <c r="H106" s="319"/>
      <c r="I106" s="319"/>
      <c r="J106" s="319"/>
      <c r="K106" s="319"/>
      <c r="L106" s="319"/>
      <c r="M106" s="319"/>
      <c r="N106" s="319"/>
      <c r="O106" s="319"/>
      <c r="P106" s="319"/>
      <c r="Q106" s="319"/>
    </row>
    <row r="107" ht="15" customHeight="1" spans="2:17">
      <c r="B107" s="383" t="s">
        <v>285</v>
      </c>
      <c r="C107" s="384">
        <f t="shared" ref="C107:Q107" si="33">+C99-C105</f>
        <v>2682</v>
      </c>
      <c r="D107" s="383">
        <f t="shared" si="33"/>
        <v>2946</v>
      </c>
      <c r="E107" s="383">
        <f t="shared" si="33"/>
        <v>2558</v>
      </c>
      <c r="F107" s="383">
        <f t="shared" si="33"/>
        <v>3574</v>
      </c>
      <c r="G107" s="383">
        <f t="shared" si="33"/>
        <v>3574</v>
      </c>
      <c r="H107" s="385">
        <f t="shared" si="33"/>
        <v>4996.4</v>
      </c>
      <c r="I107" s="385">
        <f t="shared" si="33"/>
        <v>6418.8</v>
      </c>
      <c r="J107" s="385">
        <f t="shared" si="33"/>
        <v>7841.19999999999</v>
      </c>
      <c r="K107" s="385">
        <f t="shared" si="33"/>
        <v>9832.55999999999</v>
      </c>
      <c r="L107" s="385">
        <f t="shared" si="33"/>
        <v>11823.92</v>
      </c>
      <c r="M107" s="385">
        <f t="shared" si="33"/>
        <v>13815.28</v>
      </c>
      <c r="N107" s="385">
        <f t="shared" si="33"/>
        <v>16603.184</v>
      </c>
      <c r="O107" s="385">
        <f t="shared" si="33"/>
        <v>19391.088</v>
      </c>
      <c r="P107" s="385">
        <f t="shared" si="33"/>
        <v>22178.992</v>
      </c>
      <c r="Q107" s="385">
        <f t="shared" si="33"/>
        <v>26082.0576</v>
      </c>
    </row>
    <row r="108" ht="15" customHeight="1" spans="2:17">
      <c r="B108" s="257"/>
      <c r="C108" s="257"/>
      <c r="D108" s="257"/>
      <c r="E108" s="257"/>
      <c r="F108" s="257"/>
      <c r="G108" s="257"/>
      <c r="H108" s="377"/>
      <c r="I108" s="377"/>
      <c r="J108" s="377"/>
      <c r="K108" s="377"/>
      <c r="L108" s="377"/>
      <c r="M108" s="377"/>
      <c r="N108" s="377"/>
      <c r="O108" s="377"/>
      <c r="P108" s="377"/>
      <c r="Q108" s="377"/>
    </row>
    <row r="109" ht="15" customHeight="1" spans="2:17">
      <c r="B109" s="298" t="s">
        <v>293</v>
      </c>
      <c r="H109" s="319"/>
      <c r="I109" s="319"/>
      <c r="J109" s="319"/>
      <c r="K109" s="319"/>
      <c r="L109" s="319"/>
      <c r="M109" s="319"/>
      <c r="N109" s="319"/>
      <c r="O109" s="319"/>
      <c r="P109" s="319"/>
      <c r="Q109" s="319"/>
    </row>
    <row r="110" ht="14.25" customHeight="1" spans="2:17">
      <c r="B110" s="392" t="s">
        <v>277</v>
      </c>
      <c r="C110" s="14">
        <v>91616</v>
      </c>
      <c r="D110" s="257">
        <f t="shared" ref="D110:Q110" si="34">+C114</f>
        <v>99043</v>
      </c>
      <c r="E110" s="257">
        <f t="shared" si="34"/>
        <v>107398</v>
      </c>
      <c r="F110" s="257">
        <f t="shared" si="34"/>
        <v>103722</v>
      </c>
      <c r="G110" s="257">
        <f t="shared" si="34"/>
        <v>117968</v>
      </c>
      <c r="H110" s="377">
        <f t="shared" si="34"/>
        <v>117968</v>
      </c>
      <c r="I110" s="377">
        <f t="shared" si="34"/>
        <v>137912.4</v>
      </c>
      <c r="J110" s="377">
        <f t="shared" si="34"/>
        <v>157856.8</v>
      </c>
      <c r="K110" s="377">
        <f t="shared" si="34"/>
        <v>177801.2</v>
      </c>
      <c r="L110" s="377">
        <f t="shared" si="34"/>
        <v>205723.36</v>
      </c>
      <c r="M110" s="377">
        <f t="shared" si="34"/>
        <v>233645.52</v>
      </c>
      <c r="N110" s="377">
        <f t="shared" si="34"/>
        <v>261567.68</v>
      </c>
      <c r="O110" s="377">
        <f t="shared" si="34"/>
        <v>300658.704</v>
      </c>
      <c r="P110" s="377">
        <f t="shared" si="34"/>
        <v>339749.728</v>
      </c>
      <c r="Q110" s="377">
        <f t="shared" si="34"/>
        <v>378840.752</v>
      </c>
    </row>
    <row r="111" ht="14.25" customHeight="1" spans="2:17">
      <c r="B111" s="346" t="s">
        <v>278</v>
      </c>
      <c r="C111" s="378">
        <v>7240</v>
      </c>
      <c r="D111" s="378">
        <v>8569</v>
      </c>
      <c r="E111" s="378">
        <f>9+7910</f>
        <v>7919</v>
      </c>
      <c r="F111" s="378">
        <f>229+10281</f>
        <v>10510</v>
      </c>
      <c r="G111" s="378"/>
      <c r="H111" s="379">
        <f>F111*1.4</f>
        <v>14714</v>
      </c>
      <c r="I111" s="379">
        <f>H111</f>
        <v>14714</v>
      </c>
      <c r="J111" s="379">
        <f>I111</f>
        <v>14714</v>
      </c>
      <c r="K111" s="379">
        <f>J111*1.4</f>
        <v>20599.6</v>
      </c>
      <c r="L111" s="379">
        <f>K111</f>
        <v>20599.6</v>
      </c>
      <c r="M111" s="379">
        <f>L111</f>
        <v>20599.6</v>
      </c>
      <c r="N111" s="379">
        <f>M111*1.4</f>
        <v>28839.44</v>
      </c>
      <c r="O111" s="379">
        <f>N111</f>
        <v>28839.44</v>
      </c>
      <c r="P111" s="379">
        <f>O111</f>
        <v>28839.44</v>
      </c>
      <c r="Q111" s="379">
        <f>P111*1.4</f>
        <v>40375.216</v>
      </c>
    </row>
    <row r="112" ht="14.25" customHeight="1" spans="2:17">
      <c r="B112" s="346" t="s">
        <v>279</v>
      </c>
      <c r="C112" s="378">
        <v>-131</v>
      </c>
      <c r="D112" s="378">
        <v>-450</v>
      </c>
      <c r="E112" s="378">
        <v>-486</v>
      </c>
      <c r="F112" s="378">
        <f>3869-660-1771</f>
        <v>1438</v>
      </c>
      <c r="G112" s="378"/>
      <c r="H112" s="379">
        <f>F112*1.4</f>
        <v>2013.2</v>
      </c>
      <c r="I112" s="379">
        <f>H112</f>
        <v>2013.2</v>
      </c>
      <c r="J112" s="379">
        <f>I112</f>
        <v>2013.2</v>
      </c>
      <c r="K112" s="379">
        <f>J112*1.4</f>
        <v>2818.48</v>
      </c>
      <c r="L112" s="379">
        <f>K112</f>
        <v>2818.48</v>
      </c>
      <c r="M112" s="379">
        <f>L112</f>
        <v>2818.48</v>
      </c>
      <c r="N112" s="379">
        <f>M112*1.4</f>
        <v>3945.872</v>
      </c>
      <c r="O112" s="379">
        <f>N112</f>
        <v>3945.872</v>
      </c>
      <c r="P112" s="379">
        <f>O112</f>
        <v>3945.872</v>
      </c>
      <c r="Q112" s="379">
        <f>P112*1.4</f>
        <v>5524.2208</v>
      </c>
    </row>
    <row r="113" ht="14.25" customHeight="1" spans="2:17">
      <c r="B113" s="346" t="s">
        <v>280</v>
      </c>
      <c r="C113" s="378">
        <v>318</v>
      </c>
      <c r="D113" s="378">
        <v>236</v>
      </c>
      <c r="E113" s="378">
        <v>-11109</v>
      </c>
      <c r="F113" s="378">
        <v>2298</v>
      </c>
      <c r="G113" s="378"/>
      <c r="H113" s="379">
        <f>F113*1.4</f>
        <v>3217.2</v>
      </c>
      <c r="I113" s="379">
        <f>H113</f>
        <v>3217.2</v>
      </c>
      <c r="J113" s="379">
        <f>I113</f>
        <v>3217.2</v>
      </c>
      <c r="K113" s="379">
        <f>J113*1.4</f>
        <v>4504.08</v>
      </c>
      <c r="L113" s="379">
        <f>K113</f>
        <v>4504.08</v>
      </c>
      <c r="M113" s="379">
        <f>L113</f>
        <v>4504.08</v>
      </c>
      <c r="N113" s="379">
        <f>M113*1.4</f>
        <v>6305.712</v>
      </c>
      <c r="O113" s="379">
        <f>N113</f>
        <v>6305.712</v>
      </c>
      <c r="P113" s="379">
        <f>O113</f>
        <v>6305.712</v>
      </c>
      <c r="Q113" s="379">
        <f>P113*1.4</f>
        <v>8827.9968</v>
      </c>
    </row>
    <row r="114" ht="14.25" customHeight="1" spans="2:17">
      <c r="B114" s="355" t="s">
        <v>281</v>
      </c>
      <c r="C114" s="257">
        <f t="shared" ref="C114:Q114" si="35">SUM(C110:C113)</f>
        <v>99043</v>
      </c>
      <c r="D114" s="257">
        <f t="shared" si="35"/>
        <v>107398</v>
      </c>
      <c r="E114" s="257">
        <f t="shared" si="35"/>
        <v>103722</v>
      </c>
      <c r="F114" s="257">
        <f t="shared" si="35"/>
        <v>117968</v>
      </c>
      <c r="G114" s="257">
        <f t="shared" si="35"/>
        <v>117968</v>
      </c>
      <c r="H114" s="377">
        <f t="shared" si="35"/>
        <v>137912.4</v>
      </c>
      <c r="I114" s="377">
        <f t="shared" si="35"/>
        <v>157856.8</v>
      </c>
      <c r="J114" s="377">
        <f t="shared" si="35"/>
        <v>177801.2</v>
      </c>
      <c r="K114" s="377">
        <f t="shared" si="35"/>
        <v>205723.36</v>
      </c>
      <c r="L114" s="377">
        <f t="shared" si="35"/>
        <v>233645.52</v>
      </c>
      <c r="M114" s="377">
        <f t="shared" si="35"/>
        <v>261567.68</v>
      </c>
      <c r="N114" s="377">
        <f t="shared" si="35"/>
        <v>300658.704</v>
      </c>
      <c r="O114" s="377">
        <f t="shared" si="35"/>
        <v>339749.728</v>
      </c>
      <c r="P114" s="377">
        <f t="shared" si="35"/>
        <v>378840.752</v>
      </c>
      <c r="Q114" s="377">
        <f t="shared" si="35"/>
        <v>433568.1856</v>
      </c>
    </row>
    <row r="115" ht="14.25" customHeight="1" spans="2:17">
      <c r="B115" s="346"/>
      <c r="C115" s="378"/>
      <c r="D115" s="378"/>
      <c r="E115" s="378"/>
      <c r="F115" s="378"/>
      <c r="G115" s="378"/>
      <c r="H115" s="13"/>
      <c r="I115" s="13"/>
      <c r="J115" s="13"/>
      <c r="K115" s="13"/>
      <c r="L115" s="13"/>
      <c r="M115" s="13"/>
      <c r="N115" s="13"/>
      <c r="O115" s="13"/>
      <c r="P115" s="13"/>
      <c r="Q115" s="13"/>
    </row>
    <row r="116" ht="14.25" customHeight="1" spans="2:17">
      <c r="B116" s="355" t="s">
        <v>282</v>
      </c>
      <c r="C116" s="257">
        <v>83078</v>
      </c>
      <c r="D116" s="257">
        <f t="shared" ref="D116:Q116" si="36">+C120</f>
        <v>89290</v>
      </c>
      <c r="E116" s="257">
        <f t="shared" si="36"/>
        <v>95630</v>
      </c>
      <c r="F116" s="257">
        <f t="shared" si="36"/>
        <v>92675</v>
      </c>
      <c r="G116" s="257">
        <f t="shared" si="36"/>
        <v>103792</v>
      </c>
      <c r="H116" s="377">
        <f t="shared" si="36"/>
        <v>103792</v>
      </c>
      <c r="I116" s="377">
        <f t="shared" si="36"/>
        <v>119355.8</v>
      </c>
      <c r="J116" s="377">
        <f t="shared" si="36"/>
        <v>134919.6</v>
      </c>
      <c r="K116" s="377">
        <f t="shared" si="36"/>
        <v>150483.4</v>
      </c>
      <c r="L116" s="377">
        <f t="shared" si="36"/>
        <v>172272.72</v>
      </c>
      <c r="M116" s="377">
        <f t="shared" si="36"/>
        <v>194062.04</v>
      </c>
      <c r="N116" s="377">
        <f t="shared" si="36"/>
        <v>215851.36</v>
      </c>
      <c r="O116" s="377">
        <f t="shared" si="36"/>
        <v>246356.408</v>
      </c>
      <c r="P116" s="377">
        <f t="shared" si="36"/>
        <v>276861.456</v>
      </c>
      <c r="Q116" s="377">
        <f t="shared" si="36"/>
        <v>307366.504</v>
      </c>
    </row>
    <row r="117" ht="14.25" customHeight="1" spans="2:17">
      <c r="B117" s="346" t="s">
        <v>283</v>
      </c>
      <c r="C117" s="378">
        <v>6177</v>
      </c>
      <c r="D117" s="378">
        <v>6415</v>
      </c>
      <c r="E117" s="378">
        <v>7041</v>
      </c>
      <c r="F117" s="378">
        <v>7450</v>
      </c>
      <c r="G117" s="378"/>
      <c r="H117" s="13">
        <f>F117*1.4</f>
        <v>10430</v>
      </c>
      <c r="I117" s="13">
        <f>H117</f>
        <v>10430</v>
      </c>
      <c r="J117" s="13">
        <f>I117</f>
        <v>10430</v>
      </c>
      <c r="K117" s="13">
        <f>J117*1.4</f>
        <v>14602</v>
      </c>
      <c r="L117" s="13">
        <f>K117</f>
        <v>14602</v>
      </c>
      <c r="M117" s="13">
        <f>L117</f>
        <v>14602</v>
      </c>
      <c r="N117" s="13">
        <f>M117*1.4</f>
        <v>20442.8</v>
      </c>
      <c r="O117" s="13">
        <f>N117</f>
        <v>20442.8</v>
      </c>
      <c r="P117" s="13">
        <f>O117</f>
        <v>20442.8</v>
      </c>
      <c r="Q117" s="13">
        <f>P117*1.4</f>
        <v>28619.92</v>
      </c>
    </row>
    <row r="118" ht="14.25" customHeight="1" spans="2:17">
      <c r="B118" s="346" t="s">
        <v>279</v>
      </c>
      <c r="C118" s="378">
        <v>-265</v>
      </c>
      <c r="D118" s="378">
        <v>-464</v>
      </c>
      <c r="E118" s="378">
        <v>-102</v>
      </c>
      <c r="F118" s="378">
        <f>-650+3829-1667</f>
        <v>1512</v>
      </c>
      <c r="G118" s="378"/>
      <c r="H118" s="13">
        <f>F118*1.4</f>
        <v>2116.8</v>
      </c>
      <c r="I118" s="13">
        <f>H118</f>
        <v>2116.8</v>
      </c>
      <c r="J118" s="13">
        <f>I118</f>
        <v>2116.8</v>
      </c>
      <c r="K118" s="13">
        <f>J118*1.4</f>
        <v>2963.52</v>
      </c>
      <c r="L118" s="13">
        <f>K118</f>
        <v>2963.52</v>
      </c>
      <c r="M118" s="13">
        <f>L118</f>
        <v>2963.52</v>
      </c>
      <c r="N118" s="13">
        <f>M118*1.4</f>
        <v>4148.928</v>
      </c>
      <c r="O118" s="13">
        <f>N118</f>
        <v>4148.928</v>
      </c>
      <c r="P118" s="13">
        <f>O118</f>
        <v>4148.928</v>
      </c>
      <c r="Q118" s="13">
        <f>P118*1.4</f>
        <v>5808.4992</v>
      </c>
    </row>
    <row r="119" ht="14.25" customHeight="1" spans="2:17">
      <c r="B119" s="346" t="s">
        <v>280</v>
      </c>
      <c r="C119" s="378">
        <v>300</v>
      </c>
      <c r="D119" s="378">
        <v>389</v>
      </c>
      <c r="E119" s="378">
        <v>-9894</v>
      </c>
      <c r="F119" s="378">
        <v>2155</v>
      </c>
      <c r="G119" s="378"/>
      <c r="H119" s="13">
        <f>F119*1.4</f>
        <v>3017</v>
      </c>
      <c r="I119" s="13">
        <f>H119</f>
        <v>3017</v>
      </c>
      <c r="J119" s="13">
        <f>I119</f>
        <v>3017</v>
      </c>
      <c r="K119" s="13">
        <f>J119*1.4</f>
        <v>4223.8</v>
      </c>
      <c r="L119" s="13">
        <f>K119</f>
        <v>4223.8</v>
      </c>
      <c r="M119" s="13">
        <f>L119</f>
        <v>4223.8</v>
      </c>
      <c r="N119" s="13">
        <f>M119*1.4</f>
        <v>5913.32</v>
      </c>
      <c r="O119" s="13">
        <f>N119</f>
        <v>5913.32</v>
      </c>
      <c r="P119" s="13">
        <f>O119</f>
        <v>5913.32</v>
      </c>
      <c r="Q119" s="13">
        <f>P119*1.4</f>
        <v>8278.648</v>
      </c>
    </row>
    <row r="120" ht="14.25" customHeight="1" spans="2:17">
      <c r="B120" s="355" t="s">
        <v>284</v>
      </c>
      <c r="C120" s="257">
        <f t="shared" ref="C120:Q120" si="37">SUM(C116:C119)</f>
        <v>89290</v>
      </c>
      <c r="D120" s="257">
        <f t="shared" si="37"/>
        <v>95630</v>
      </c>
      <c r="E120" s="257">
        <f t="shared" si="37"/>
        <v>92675</v>
      </c>
      <c r="F120" s="257">
        <f t="shared" si="37"/>
        <v>103792</v>
      </c>
      <c r="G120" s="257">
        <f t="shared" si="37"/>
        <v>103792</v>
      </c>
      <c r="H120" s="377">
        <f t="shared" si="37"/>
        <v>119355.8</v>
      </c>
      <c r="I120" s="377">
        <f t="shared" si="37"/>
        <v>134919.6</v>
      </c>
      <c r="J120" s="377">
        <f t="shared" si="37"/>
        <v>150483.4</v>
      </c>
      <c r="K120" s="377">
        <f t="shared" si="37"/>
        <v>172272.72</v>
      </c>
      <c r="L120" s="377">
        <f t="shared" si="37"/>
        <v>194062.04</v>
      </c>
      <c r="M120" s="377">
        <f t="shared" si="37"/>
        <v>215851.36</v>
      </c>
      <c r="N120" s="377">
        <f t="shared" si="37"/>
        <v>246356.408</v>
      </c>
      <c r="O120" s="377">
        <f t="shared" si="37"/>
        <v>276861.456</v>
      </c>
      <c r="P120" s="377">
        <f t="shared" si="37"/>
        <v>307366.504</v>
      </c>
      <c r="Q120" s="377">
        <f t="shared" si="37"/>
        <v>350073.5712</v>
      </c>
    </row>
    <row r="121" ht="15" customHeight="1" spans="2:17">
      <c r="B121" s="355"/>
      <c r="H121" s="319"/>
      <c r="I121" s="319"/>
      <c r="J121" s="319"/>
      <c r="K121" s="319"/>
      <c r="L121" s="319"/>
      <c r="M121" s="319"/>
      <c r="N121" s="319"/>
      <c r="O121" s="319"/>
      <c r="P121" s="319"/>
      <c r="Q121" s="319"/>
    </row>
    <row r="122" ht="15" customHeight="1" spans="2:17">
      <c r="B122" s="393" t="s">
        <v>285</v>
      </c>
      <c r="C122" s="384">
        <f t="shared" ref="C122:Q122" si="38">+C114-C120</f>
        <v>9753</v>
      </c>
      <c r="D122" s="383">
        <f t="shared" si="38"/>
        <v>11768</v>
      </c>
      <c r="E122" s="383">
        <f t="shared" si="38"/>
        <v>11047</v>
      </c>
      <c r="F122" s="383">
        <f t="shared" si="38"/>
        <v>14176</v>
      </c>
      <c r="G122" s="383">
        <f t="shared" si="38"/>
        <v>14176</v>
      </c>
      <c r="H122" s="385">
        <f t="shared" si="38"/>
        <v>18556.6</v>
      </c>
      <c r="I122" s="385">
        <f t="shared" si="38"/>
        <v>22937.2</v>
      </c>
      <c r="J122" s="385">
        <f t="shared" si="38"/>
        <v>27317.8000000001</v>
      </c>
      <c r="K122" s="385">
        <f t="shared" si="38"/>
        <v>33450.6400000001</v>
      </c>
      <c r="L122" s="385">
        <f t="shared" si="38"/>
        <v>39583.4800000001</v>
      </c>
      <c r="M122" s="385">
        <f t="shared" si="38"/>
        <v>45716.3200000002</v>
      </c>
      <c r="N122" s="385">
        <f t="shared" si="38"/>
        <v>54302.2960000001</v>
      </c>
      <c r="O122" s="385">
        <f t="shared" si="38"/>
        <v>62888.2720000001</v>
      </c>
      <c r="P122" s="385">
        <f t="shared" si="38"/>
        <v>71474.248</v>
      </c>
      <c r="Q122" s="385">
        <f t="shared" si="38"/>
        <v>83494.6144000001</v>
      </c>
    </row>
    <row r="123" ht="14.25" customHeight="1" spans="2:17">
      <c r="B123" s="355"/>
      <c r="C123" s="257"/>
      <c r="D123" s="257"/>
      <c r="E123" s="257"/>
      <c r="F123" s="257"/>
      <c r="G123" s="257"/>
      <c r="H123" s="13"/>
      <c r="I123" s="13"/>
      <c r="J123" s="13"/>
      <c r="K123" s="13"/>
      <c r="L123" s="13"/>
      <c r="M123" s="13"/>
      <c r="N123" s="13"/>
      <c r="O123" s="13"/>
      <c r="P123" s="13"/>
      <c r="Q123" s="13"/>
    </row>
    <row r="124" ht="14.25" customHeight="1" spans="2:17">
      <c r="B124" s="394" t="s">
        <v>294</v>
      </c>
      <c r="C124" s="8"/>
      <c r="D124" s="11"/>
      <c r="E124" s="11"/>
      <c r="F124" s="11"/>
      <c r="G124" s="11"/>
      <c r="H124" s="377"/>
      <c r="I124" s="377"/>
      <c r="J124" s="377"/>
      <c r="K124" s="377"/>
      <c r="L124" s="377"/>
      <c r="M124" s="377"/>
      <c r="N124" s="377"/>
      <c r="O124" s="377"/>
      <c r="P124" s="377"/>
      <c r="Q124" s="377"/>
    </row>
    <row r="125" ht="14.25" customHeight="1" spans="2:17">
      <c r="B125" s="355" t="s">
        <v>277</v>
      </c>
      <c r="C125" s="388">
        <v>0</v>
      </c>
      <c r="D125" s="257">
        <f t="shared" ref="D125:Q125" si="39">+C129</f>
        <v>0</v>
      </c>
      <c r="E125" s="257">
        <f t="shared" si="39"/>
        <v>3960</v>
      </c>
      <c r="F125" s="257">
        <f t="shared" si="39"/>
        <v>3960</v>
      </c>
      <c r="G125" s="257">
        <f t="shared" si="39"/>
        <v>4118</v>
      </c>
      <c r="H125" s="377">
        <f t="shared" si="39"/>
        <v>4277</v>
      </c>
      <c r="I125" s="377">
        <f t="shared" si="39"/>
        <v>4498.2</v>
      </c>
      <c r="J125" s="377">
        <f t="shared" si="39"/>
        <v>4719.4</v>
      </c>
      <c r="K125" s="377">
        <f t="shared" si="39"/>
        <v>4940.6</v>
      </c>
      <c r="L125" s="377">
        <f t="shared" si="39"/>
        <v>5250.28</v>
      </c>
      <c r="M125" s="377">
        <f t="shared" si="39"/>
        <v>5559.96</v>
      </c>
      <c r="N125" s="377">
        <f t="shared" si="39"/>
        <v>5869.64</v>
      </c>
      <c r="O125" s="377">
        <f t="shared" si="39"/>
        <v>6303.192</v>
      </c>
      <c r="P125" s="377">
        <f t="shared" si="39"/>
        <v>6736.744</v>
      </c>
      <c r="Q125" s="377">
        <f t="shared" si="39"/>
        <v>7170.296</v>
      </c>
    </row>
    <row r="126" ht="14.25" customHeight="1" spans="2:17">
      <c r="B126" s="346" t="s">
        <v>278</v>
      </c>
      <c r="C126" s="395"/>
      <c r="D126" s="395">
        <v>3960</v>
      </c>
      <c r="E126" s="395" t="s">
        <v>109</v>
      </c>
      <c r="F126" s="395" t="s">
        <v>109</v>
      </c>
      <c r="G126" s="395" t="s">
        <v>109</v>
      </c>
      <c r="H126" s="396" t="s">
        <v>109</v>
      </c>
      <c r="I126" s="396" t="s">
        <v>109</v>
      </c>
      <c r="J126" s="396" t="s">
        <v>109</v>
      </c>
      <c r="K126" s="396" t="s">
        <v>109</v>
      </c>
      <c r="L126" s="396" t="s">
        <v>109</v>
      </c>
      <c r="M126" s="396" t="s">
        <v>109</v>
      </c>
      <c r="N126" s="396" t="s">
        <v>109</v>
      </c>
      <c r="O126" s="396" t="s">
        <v>109</v>
      </c>
      <c r="P126" s="396" t="s">
        <v>109</v>
      </c>
      <c r="Q126" s="396" t="s">
        <v>109</v>
      </c>
    </row>
    <row r="127" ht="14.25" customHeight="1" spans="2:17">
      <c r="B127" s="346" t="s">
        <v>279</v>
      </c>
      <c r="C127" s="395"/>
      <c r="D127" s="395" t="s">
        <v>109</v>
      </c>
      <c r="E127" s="395" t="s">
        <v>109</v>
      </c>
      <c r="F127" s="395" t="s">
        <v>109</v>
      </c>
      <c r="G127" s="395" t="s">
        <v>109</v>
      </c>
      <c r="H127" s="396" t="s">
        <v>109</v>
      </c>
      <c r="I127" s="396" t="s">
        <v>109</v>
      </c>
      <c r="J127" s="396" t="s">
        <v>109</v>
      </c>
      <c r="K127" s="396" t="s">
        <v>109</v>
      </c>
      <c r="L127" s="396" t="s">
        <v>109</v>
      </c>
      <c r="M127" s="396" t="s">
        <v>109</v>
      </c>
      <c r="N127" s="396" t="s">
        <v>109</v>
      </c>
      <c r="O127" s="396" t="s">
        <v>109</v>
      </c>
      <c r="P127" s="396" t="s">
        <v>109</v>
      </c>
      <c r="Q127" s="396" t="s">
        <v>109</v>
      </c>
    </row>
    <row r="128" ht="14.25" customHeight="1" spans="2:17">
      <c r="B128" s="346" t="s">
        <v>280</v>
      </c>
      <c r="C128" s="395"/>
      <c r="D128" s="395" t="s">
        <v>109</v>
      </c>
      <c r="E128" s="395" t="s">
        <v>109</v>
      </c>
      <c r="F128" s="395">
        <v>158</v>
      </c>
      <c r="G128" s="395">
        <v>159</v>
      </c>
      <c r="H128" s="396">
        <f>F128*1.4</f>
        <v>221.2</v>
      </c>
      <c r="I128" s="396">
        <f>H128</f>
        <v>221.2</v>
      </c>
      <c r="J128" s="396">
        <f>I128</f>
        <v>221.2</v>
      </c>
      <c r="K128" s="396">
        <f>J128*1.4</f>
        <v>309.68</v>
      </c>
      <c r="L128" s="396">
        <f>K128</f>
        <v>309.68</v>
      </c>
      <c r="M128" s="396">
        <f>L128</f>
        <v>309.68</v>
      </c>
      <c r="N128" s="396">
        <f>M128*1.4</f>
        <v>433.552</v>
      </c>
      <c r="O128" s="396">
        <f>N128</f>
        <v>433.552</v>
      </c>
      <c r="P128" s="396">
        <f>O128</f>
        <v>433.552</v>
      </c>
      <c r="Q128" s="396">
        <f>P128*1.4</f>
        <v>606.9728</v>
      </c>
    </row>
    <row r="129" ht="14.25" customHeight="1" spans="2:17">
      <c r="B129" s="355" t="s">
        <v>281</v>
      </c>
      <c r="C129" s="257">
        <f t="shared" ref="C129:Q129" si="40">SUM(C125:C128)</f>
        <v>0</v>
      </c>
      <c r="D129" s="257">
        <f t="shared" si="40"/>
        <v>3960</v>
      </c>
      <c r="E129" s="257">
        <f t="shared" si="40"/>
        <v>3960</v>
      </c>
      <c r="F129" s="257">
        <f t="shared" si="40"/>
        <v>4118</v>
      </c>
      <c r="G129" s="257">
        <f t="shared" si="40"/>
        <v>4277</v>
      </c>
      <c r="H129" s="377">
        <f t="shared" si="40"/>
        <v>4498.2</v>
      </c>
      <c r="I129" s="377">
        <f t="shared" si="40"/>
        <v>4719.4</v>
      </c>
      <c r="J129" s="377">
        <f t="shared" si="40"/>
        <v>4940.6</v>
      </c>
      <c r="K129" s="377">
        <f t="shared" si="40"/>
        <v>5250.28</v>
      </c>
      <c r="L129" s="377">
        <f t="shared" si="40"/>
        <v>5559.96</v>
      </c>
      <c r="M129" s="377">
        <f t="shared" si="40"/>
        <v>5869.64</v>
      </c>
      <c r="N129" s="377">
        <f t="shared" si="40"/>
        <v>6303.192</v>
      </c>
      <c r="O129" s="377">
        <f t="shared" si="40"/>
        <v>6736.744</v>
      </c>
      <c r="P129" s="377">
        <f t="shared" si="40"/>
        <v>7170.296</v>
      </c>
      <c r="Q129" s="377">
        <f t="shared" si="40"/>
        <v>7777.2688</v>
      </c>
    </row>
    <row r="130" ht="14.25" customHeight="1" spans="2:17">
      <c r="B130" s="355"/>
      <c r="C130" s="257"/>
      <c r="D130" s="257"/>
      <c r="E130" s="257"/>
      <c r="F130" s="257"/>
      <c r="G130" s="257"/>
      <c r="H130" s="377"/>
      <c r="I130" s="377"/>
      <c r="J130" s="377"/>
      <c r="K130" s="377"/>
      <c r="L130" s="377"/>
      <c r="M130" s="377"/>
      <c r="N130" s="377"/>
      <c r="O130" s="377"/>
      <c r="P130" s="377"/>
      <c r="Q130" s="377"/>
    </row>
    <row r="131" ht="14.25" customHeight="1" spans="2:17">
      <c r="B131" s="355" t="s">
        <v>282</v>
      </c>
      <c r="C131" s="257">
        <v>0</v>
      </c>
      <c r="D131" s="257">
        <f t="shared" ref="D131:Q131" si="41">+C135</f>
        <v>0</v>
      </c>
      <c r="E131" s="257">
        <f t="shared" si="41"/>
        <v>17</v>
      </c>
      <c r="F131" s="257">
        <f t="shared" si="41"/>
        <v>235</v>
      </c>
      <c r="G131" s="257">
        <f t="shared" si="41"/>
        <v>430</v>
      </c>
      <c r="H131" s="377">
        <f t="shared" si="41"/>
        <v>627</v>
      </c>
      <c r="I131" s="377">
        <f t="shared" si="41"/>
        <v>900</v>
      </c>
      <c r="J131" s="377">
        <f t="shared" si="41"/>
        <v>1173</v>
      </c>
      <c r="K131" s="377">
        <f t="shared" si="41"/>
        <v>1446</v>
      </c>
      <c r="L131" s="377">
        <f t="shared" si="41"/>
        <v>1828.2</v>
      </c>
      <c r="M131" s="377">
        <f t="shared" si="41"/>
        <v>2210.4</v>
      </c>
      <c r="N131" s="377">
        <f t="shared" si="41"/>
        <v>2592.6</v>
      </c>
      <c r="O131" s="377">
        <f t="shared" si="41"/>
        <v>3127.68</v>
      </c>
      <c r="P131" s="377">
        <f t="shared" si="41"/>
        <v>3662.76</v>
      </c>
      <c r="Q131" s="377">
        <f t="shared" si="41"/>
        <v>4197.84</v>
      </c>
    </row>
    <row r="132" ht="14.25" customHeight="1" spans="2:17">
      <c r="B132" s="346" t="s">
        <v>283</v>
      </c>
      <c r="C132" s="395"/>
      <c r="D132" s="395">
        <v>17</v>
      </c>
      <c r="E132" s="395">
        <v>199</v>
      </c>
      <c r="F132" s="395">
        <v>203</v>
      </c>
      <c r="G132" s="395">
        <v>204</v>
      </c>
      <c r="H132" s="396">
        <f>F132*1.4</f>
        <v>284.2</v>
      </c>
      <c r="I132" s="396">
        <f>H132</f>
        <v>284.2</v>
      </c>
      <c r="J132" s="396">
        <f>I132</f>
        <v>284.2</v>
      </c>
      <c r="K132" s="396">
        <f>J132*1.4</f>
        <v>397.88</v>
      </c>
      <c r="L132" s="396">
        <f>K132</f>
        <v>397.88</v>
      </c>
      <c r="M132" s="396">
        <f>L132</f>
        <v>397.88</v>
      </c>
      <c r="N132" s="396">
        <f>M132*1.4</f>
        <v>557.032</v>
      </c>
      <c r="O132" s="396">
        <f>N132</f>
        <v>557.032</v>
      </c>
      <c r="P132" s="396">
        <f>O132</f>
        <v>557.032</v>
      </c>
      <c r="Q132" s="396">
        <f>P132*1.4</f>
        <v>779.8448</v>
      </c>
    </row>
    <row r="133" ht="14.25" customHeight="1" spans="2:17">
      <c r="B133" s="346" t="s">
        <v>279</v>
      </c>
      <c r="C133" s="395"/>
      <c r="D133" s="395"/>
      <c r="E133" s="395"/>
      <c r="F133" s="395"/>
      <c r="G133" s="395" t="s">
        <v>109</v>
      </c>
      <c r="H133" s="13"/>
      <c r="I133" s="13"/>
      <c r="J133" s="13"/>
      <c r="K133" s="13"/>
      <c r="L133" s="13"/>
      <c r="M133" s="13"/>
      <c r="N133" s="13"/>
      <c r="O133" s="13"/>
      <c r="P133" s="13"/>
      <c r="Q133" s="13"/>
    </row>
    <row r="134" ht="14.25" customHeight="1" spans="2:17">
      <c r="B134" s="346" t="s">
        <v>280</v>
      </c>
      <c r="C134" s="395"/>
      <c r="D134" s="395"/>
      <c r="E134" s="395">
        <v>19</v>
      </c>
      <c r="F134" s="395">
        <v>-8</v>
      </c>
      <c r="G134" s="395">
        <v>-7</v>
      </c>
      <c r="H134" s="396">
        <f>F134*1.4</f>
        <v>-11.2</v>
      </c>
      <c r="I134" s="396">
        <f>H134</f>
        <v>-11.2</v>
      </c>
      <c r="J134" s="396">
        <f>I134</f>
        <v>-11.2</v>
      </c>
      <c r="K134" s="396">
        <f>J134*1.4</f>
        <v>-15.68</v>
      </c>
      <c r="L134" s="396">
        <f>K134</f>
        <v>-15.68</v>
      </c>
      <c r="M134" s="396">
        <f>L134</f>
        <v>-15.68</v>
      </c>
      <c r="N134" s="396">
        <f>M134*1.4</f>
        <v>-21.952</v>
      </c>
      <c r="O134" s="396">
        <f>N134</f>
        <v>-21.952</v>
      </c>
      <c r="P134" s="396">
        <f>O134</f>
        <v>-21.952</v>
      </c>
      <c r="Q134" s="396">
        <f>P134*1.4</f>
        <v>-30.7328</v>
      </c>
    </row>
    <row r="135" ht="15" customHeight="1" spans="2:17">
      <c r="B135" s="355" t="s">
        <v>284</v>
      </c>
      <c r="C135" s="257">
        <f t="shared" ref="C135:Q135" si="42">SUM(C131:C134)</f>
        <v>0</v>
      </c>
      <c r="D135" s="257">
        <f t="shared" si="42"/>
        <v>17</v>
      </c>
      <c r="E135" s="257">
        <f t="shared" si="42"/>
        <v>235</v>
      </c>
      <c r="F135" s="257">
        <f t="shared" si="42"/>
        <v>430</v>
      </c>
      <c r="G135" s="257">
        <f t="shared" si="42"/>
        <v>627</v>
      </c>
      <c r="H135" s="377">
        <f t="shared" si="42"/>
        <v>900</v>
      </c>
      <c r="I135" s="377">
        <f t="shared" si="42"/>
        <v>1173</v>
      </c>
      <c r="J135" s="377">
        <f t="shared" si="42"/>
        <v>1446</v>
      </c>
      <c r="K135" s="377">
        <f t="shared" si="42"/>
        <v>1828.2</v>
      </c>
      <c r="L135" s="377">
        <f t="shared" si="42"/>
        <v>2210.4</v>
      </c>
      <c r="M135" s="377">
        <f t="shared" si="42"/>
        <v>2592.6</v>
      </c>
      <c r="N135" s="377">
        <f t="shared" si="42"/>
        <v>3127.68</v>
      </c>
      <c r="O135" s="377">
        <f t="shared" si="42"/>
        <v>3662.76</v>
      </c>
      <c r="P135" s="377">
        <f t="shared" si="42"/>
        <v>4197.84</v>
      </c>
      <c r="Q135" s="377">
        <f t="shared" si="42"/>
        <v>4946.952</v>
      </c>
    </row>
    <row r="136" ht="15" customHeight="1" spans="2:17">
      <c r="B136" s="346"/>
      <c r="C136" s="11"/>
      <c r="D136" s="11"/>
      <c r="E136" s="11"/>
      <c r="F136" s="11"/>
      <c r="G136" s="11"/>
      <c r="H136" s="13"/>
      <c r="I136" s="13"/>
      <c r="J136" s="13"/>
      <c r="K136" s="13"/>
      <c r="L136" s="13"/>
      <c r="M136" s="13"/>
      <c r="N136" s="13"/>
      <c r="O136" s="13"/>
      <c r="P136" s="13"/>
      <c r="Q136" s="13"/>
    </row>
    <row r="137" ht="14.25" customHeight="1" spans="2:17">
      <c r="B137" s="383" t="s">
        <v>285</v>
      </c>
      <c r="C137" s="384">
        <f t="shared" ref="C137:Q137" si="43">+C129-C135</f>
        <v>0</v>
      </c>
      <c r="D137" s="383">
        <f t="shared" si="43"/>
        <v>3943</v>
      </c>
      <c r="E137" s="383">
        <f t="shared" si="43"/>
        <v>3725</v>
      </c>
      <c r="F137" s="383">
        <f t="shared" si="43"/>
        <v>3688</v>
      </c>
      <c r="G137" s="383">
        <f t="shared" si="43"/>
        <v>3650</v>
      </c>
      <c r="H137" s="385">
        <f t="shared" si="43"/>
        <v>3598.2</v>
      </c>
      <c r="I137" s="385">
        <f t="shared" si="43"/>
        <v>3546.4</v>
      </c>
      <c r="J137" s="385">
        <f t="shared" si="43"/>
        <v>3494.6</v>
      </c>
      <c r="K137" s="385">
        <f t="shared" si="43"/>
        <v>3422.08</v>
      </c>
      <c r="L137" s="385">
        <f t="shared" si="43"/>
        <v>3349.56</v>
      </c>
      <c r="M137" s="385">
        <f t="shared" si="43"/>
        <v>3277.04</v>
      </c>
      <c r="N137" s="385">
        <f t="shared" si="43"/>
        <v>3175.512</v>
      </c>
      <c r="O137" s="385">
        <f t="shared" si="43"/>
        <v>3073.984</v>
      </c>
      <c r="P137" s="385">
        <f t="shared" si="43"/>
        <v>2972.456</v>
      </c>
      <c r="Q137" s="385">
        <f t="shared" si="43"/>
        <v>2830.3168</v>
      </c>
    </row>
    <row r="138" ht="14.25" customHeight="1" spans="2:17">
      <c r="B138" s="355"/>
      <c r="C138" s="388"/>
      <c r="D138" s="388"/>
      <c r="E138" s="388"/>
      <c r="F138" s="388"/>
      <c r="G138" s="388"/>
      <c r="H138" s="377"/>
      <c r="I138" s="377"/>
      <c r="J138" s="377"/>
      <c r="K138" s="377"/>
      <c r="L138" s="377"/>
      <c r="M138" s="377"/>
      <c r="N138" s="377"/>
      <c r="O138" s="377"/>
      <c r="P138" s="377"/>
      <c r="Q138" s="377"/>
    </row>
    <row r="139" ht="14.25" customHeight="1" spans="2:17">
      <c r="B139" s="346"/>
      <c r="C139" s="378"/>
      <c r="D139" s="378"/>
      <c r="E139" s="378"/>
      <c r="F139" s="378"/>
      <c r="G139" s="378"/>
      <c r="H139" s="13"/>
      <c r="I139" s="13"/>
      <c r="J139" s="13"/>
      <c r="K139" s="13"/>
      <c r="L139" s="13"/>
      <c r="M139" s="13"/>
      <c r="N139" s="13"/>
      <c r="O139" s="13"/>
      <c r="P139" s="13"/>
      <c r="Q139" s="13"/>
    </row>
    <row r="140" ht="14.25" customHeight="1" spans="2:17">
      <c r="B140" s="383" t="s">
        <v>295</v>
      </c>
      <c r="C140" s="383">
        <f t="shared" ref="C140:Q140" si="44">+SUM(C137,C122,C107,C92,C77,C62,C47,C38,C23)</f>
        <v>905725</v>
      </c>
      <c r="D140" s="383">
        <f t="shared" si="44"/>
        <v>952241</v>
      </c>
      <c r="E140" s="383">
        <f t="shared" si="44"/>
        <v>1066121</v>
      </c>
      <c r="F140" s="383">
        <f t="shared" si="44"/>
        <v>1433107</v>
      </c>
      <c r="G140" s="383">
        <f t="shared" si="44"/>
        <v>1570659</v>
      </c>
      <c r="H140" s="385">
        <f t="shared" si="44"/>
        <v>2083882.2</v>
      </c>
      <c r="I140" s="385">
        <f t="shared" si="44"/>
        <v>2597105.4</v>
      </c>
      <c r="J140" s="385">
        <f t="shared" si="44"/>
        <v>3110328.6</v>
      </c>
      <c r="K140" s="385">
        <f t="shared" si="44"/>
        <v>3828841.08</v>
      </c>
      <c r="L140" s="385">
        <f t="shared" si="44"/>
        <v>4547353.56</v>
      </c>
      <c r="M140" s="385">
        <f t="shared" si="44"/>
        <v>5265866.04</v>
      </c>
      <c r="N140" s="385">
        <f t="shared" si="44"/>
        <v>6271783.512</v>
      </c>
      <c r="O140" s="385">
        <f t="shared" si="44"/>
        <v>7277700.984</v>
      </c>
      <c r="P140" s="385">
        <f t="shared" si="44"/>
        <v>8283618.456</v>
      </c>
      <c r="Q140" s="385">
        <f t="shared" si="44"/>
        <v>9691902.9168</v>
      </c>
    </row>
    <row r="141" ht="14.25" customHeight="1" spans="2:17">
      <c r="B141" s="355"/>
      <c r="C141" s="388"/>
      <c r="D141" s="388"/>
      <c r="E141" s="388"/>
      <c r="F141" s="388"/>
      <c r="G141" s="388"/>
      <c r="H141" s="377"/>
      <c r="I141" s="377"/>
      <c r="J141" s="377"/>
      <c r="K141" s="377"/>
      <c r="L141" s="377"/>
      <c r="M141" s="377"/>
      <c r="N141" s="377"/>
      <c r="O141" s="377"/>
      <c r="P141" s="377"/>
      <c r="Q141" s="377"/>
    </row>
    <row r="142" ht="14.25" customHeight="1" spans="2:17">
      <c r="B142" s="8"/>
      <c r="C142" s="387"/>
      <c r="D142" s="387"/>
      <c r="E142" s="387"/>
      <c r="F142" s="387"/>
      <c r="G142" s="387"/>
      <c r="H142" s="13"/>
      <c r="I142" s="13"/>
      <c r="J142" s="13"/>
      <c r="K142" s="13"/>
      <c r="L142" s="13"/>
      <c r="M142" s="13"/>
      <c r="N142" s="13"/>
      <c r="O142" s="13"/>
      <c r="P142" s="13"/>
      <c r="Q142" s="13"/>
    </row>
    <row r="143" ht="15" customHeight="1" spans="2:17">
      <c r="B143" s="397" t="s">
        <v>122</v>
      </c>
      <c r="C143" s="398"/>
      <c r="D143" s="398"/>
      <c r="E143" s="398"/>
      <c r="F143" s="398"/>
      <c r="G143" s="398"/>
      <c r="H143" s="377"/>
      <c r="I143" s="377"/>
      <c r="J143" s="377"/>
      <c r="K143" s="377"/>
      <c r="L143" s="377"/>
      <c r="M143" s="377"/>
      <c r="N143" s="377"/>
      <c r="O143" s="377"/>
      <c r="P143" s="377"/>
      <c r="Q143" s="377"/>
    </row>
    <row r="144" ht="15" customHeight="1" spans="2:17">
      <c r="B144" s="14" t="s">
        <v>296</v>
      </c>
      <c r="C144" s="398">
        <f>'BS Input'!C12</f>
        <v>322286</v>
      </c>
      <c r="D144" s="398">
        <f>'BS Input'!D12</f>
        <v>546466</v>
      </c>
      <c r="E144" s="398">
        <f>'BS Input'!E12</f>
        <v>559367</v>
      </c>
      <c r="F144" s="398">
        <f>'BS Input'!F12</f>
        <v>602415</v>
      </c>
      <c r="G144" s="398">
        <f>'BS Input'!G12</f>
        <v>673244</v>
      </c>
      <c r="H144" s="377">
        <f t="shared" ref="H144:Q144" si="45">G147</f>
        <v>673244</v>
      </c>
      <c r="I144" s="377">
        <f t="shared" si="45"/>
        <v>673244</v>
      </c>
      <c r="J144" s="377">
        <f t="shared" si="45"/>
        <v>673244</v>
      </c>
      <c r="K144" s="377">
        <f t="shared" si="45"/>
        <v>673244</v>
      </c>
      <c r="L144" s="377">
        <f t="shared" si="45"/>
        <v>673244</v>
      </c>
      <c r="M144" s="377">
        <f t="shared" si="45"/>
        <v>673244</v>
      </c>
      <c r="N144" s="377">
        <f t="shared" si="45"/>
        <v>673244</v>
      </c>
      <c r="O144" s="377">
        <f t="shared" si="45"/>
        <v>673244</v>
      </c>
      <c r="P144" s="377">
        <f t="shared" si="45"/>
        <v>673244</v>
      </c>
      <c r="Q144" s="377">
        <f t="shared" si="45"/>
        <v>673244</v>
      </c>
    </row>
    <row r="145" ht="14.25" customHeight="1" spans="2:18">
      <c r="B145" s="8" t="s">
        <v>297</v>
      </c>
      <c r="C145" s="399"/>
      <c r="D145" s="399"/>
      <c r="E145" s="399"/>
      <c r="F145" s="399"/>
      <c r="G145" s="399"/>
      <c r="H145" s="13"/>
      <c r="I145" s="13"/>
      <c r="J145" s="13"/>
      <c r="K145" s="13"/>
      <c r="L145" s="13"/>
      <c r="M145" s="13"/>
      <c r="N145" s="13"/>
      <c r="O145" s="13"/>
      <c r="P145" s="13"/>
      <c r="Q145" s="13"/>
    </row>
    <row r="146" ht="15" customHeight="1" spans="2:18">
      <c r="B146" s="8" t="s">
        <v>283</v>
      </c>
      <c r="C146" s="400"/>
      <c r="D146" s="400"/>
      <c r="E146" s="400"/>
      <c r="F146" s="400"/>
      <c r="G146" s="400"/>
      <c r="H146" s="377"/>
      <c r="I146" s="377"/>
      <c r="J146" s="377"/>
      <c r="K146" s="377"/>
      <c r="L146" s="377"/>
      <c r="M146" s="377"/>
      <c r="N146" s="377"/>
      <c r="O146" s="377"/>
      <c r="P146" s="377"/>
      <c r="Q146" s="377"/>
    </row>
    <row r="147" ht="14.25" customHeight="1" spans="2:18">
      <c r="B147" s="401" t="s">
        <v>298</v>
      </c>
      <c r="C147" s="402">
        <f>'BS Input'!C12</f>
        <v>322286</v>
      </c>
      <c r="D147" s="402">
        <f>'BS Input'!D12</f>
        <v>546466</v>
      </c>
      <c r="E147" s="402">
        <f>'BS Input'!E12</f>
        <v>559367</v>
      </c>
      <c r="F147" s="402">
        <f>'BS Input'!F12</f>
        <v>602415</v>
      </c>
      <c r="G147" s="402">
        <f>'BS Input'!G12</f>
        <v>673244</v>
      </c>
      <c r="H147" s="403">
        <f t="shared" ref="H147:Q147" si="46">SUM(H144:H146)</f>
        <v>673244</v>
      </c>
      <c r="I147" s="403">
        <f t="shared" si="46"/>
        <v>673244</v>
      </c>
      <c r="J147" s="403">
        <f t="shared" si="46"/>
        <v>673244</v>
      </c>
      <c r="K147" s="403">
        <f t="shared" si="46"/>
        <v>673244</v>
      </c>
      <c r="L147" s="403">
        <f t="shared" si="46"/>
        <v>673244</v>
      </c>
      <c r="M147" s="403">
        <f t="shared" si="46"/>
        <v>673244</v>
      </c>
      <c r="N147" s="403">
        <f t="shared" si="46"/>
        <v>673244</v>
      </c>
      <c r="O147" s="403">
        <f t="shared" si="46"/>
        <v>673244</v>
      </c>
      <c r="P147" s="403">
        <f t="shared" si="46"/>
        <v>673244</v>
      </c>
      <c r="Q147" s="403">
        <f t="shared" si="46"/>
        <v>673244</v>
      </c>
    </row>
    <row r="148" ht="14.25" customHeight="1" spans="2:18">
      <c r="B148" s="14"/>
      <c r="C148" s="404"/>
      <c r="D148" s="404"/>
      <c r="E148" s="404"/>
      <c r="F148" s="404"/>
      <c r="G148" s="404"/>
      <c r="H148" s="405"/>
      <c r="I148" s="405"/>
      <c r="J148" s="405"/>
      <c r="K148" s="405"/>
      <c r="L148" s="405"/>
      <c r="M148" s="405"/>
      <c r="N148" s="405"/>
      <c r="O148" s="405"/>
      <c r="P148" s="405"/>
      <c r="Q148" s="405"/>
    </row>
    <row r="149" ht="14.25" customHeight="1" spans="2:18">
      <c r="B149" s="383" t="s">
        <v>299</v>
      </c>
      <c r="C149" s="383">
        <f t="shared" ref="C149:Q149" si="47">C147</f>
        <v>322286</v>
      </c>
      <c r="D149" s="383">
        <f t="shared" si="47"/>
        <v>546466</v>
      </c>
      <c r="E149" s="383">
        <f t="shared" si="47"/>
        <v>559367</v>
      </c>
      <c r="F149" s="383">
        <f t="shared" si="47"/>
        <v>602415</v>
      </c>
      <c r="G149" s="383">
        <f t="shared" si="47"/>
        <v>673244</v>
      </c>
      <c r="H149" s="385">
        <f t="shared" si="47"/>
        <v>673244</v>
      </c>
      <c r="I149" s="385">
        <f t="shared" si="47"/>
        <v>673244</v>
      </c>
      <c r="J149" s="385">
        <f t="shared" si="47"/>
        <v>673244</v>
      </c>
      <c r="K149" s="385">
        <f t="shared" si="47"/>
        <v>673244</v>
      </c>
      <c r="L149" s="385">
        <f t="shared" si="47"/>
        <v>673244</v>
      </c>
      <c r="M149" s="385">
        <f t="shared" si="47"/>
        <v>673244</v>
      </c>
      <c r="N149" s="385">
        <f t="shared" si="47"/>
        <v>673244</v>
      </c>
      <c r="O149" s="385">
        <f t="shared" si="47"/>
        <v>673244</v>
      </c>
      <c r="P149" s="385">
        <f t="shared" si="47"/>
        <v>673244</v>
      </c>
      <c r="Q149" s="385">
        <f t="shared" si="47"/>
        <v>673244</v>
      </c>
    </row>
    <row r="150" ht="14.25" customHeight="1" spans="2:18">
      <c r="B150" s="14"/>
      <c r="C150" s="400"/>
      <c r="D150" s="400"/>
      <c r="E150" s="400"/>
      <c r="F150" s="400"/>
      <c r="G150" s="400"/>
      <c r="H150" s="377"/>
      <c r="I150" s="377"/>
      <c r="J150" s="377"/>
      <c r="K150" s="377"/>
      <c r="L150" s="377"/>
      <c r="M150" s="377"/>
      <c r="N150" s="377"/>
      <c r="O150" s="377"/>
      <c r="P150" s="377"/>
      <c r="Q150" s="377"/>
    </row>
    <row r="151" ht="14.25" customHeight="1" spans="2:18">
      <c r="B151" s="397" t="s">
        <v>300</v>
      </c>
      <c r="C151" s="398"/>
      <c r="D151" s="398"/>
      <c r="E151" s="398"/>
      <c r="F151" s="398"/>
      <c r="G151" s="398"/>
      <c r="H151" s="377"/>
      <c r="I151" s="377"/>
      <c r="J151" s="377"/>
      <c r="K151" s="377"/>
      <c r="L151" s="377"/>
      <c r="M151" s="377"/>
      <c r="N151" s="377"/>
      <c r="O151" s="377"/>
      <c r="P151" s="377"/>
      <c r="Q151" s="377"/>
    </row>
    <row r="152" ht="14.25" customHeight="1" spans="2:18">
      <c r="B152" s="14" t="s">
        <v>296</v>
      </c>
      <c r="C152" s="400">
        <f>'BS Input'!C14</f>
        <v>874509</v>
      </c>
      <c r="D152" s="400">
        <f t="shared" ref="D152:Q152" si="48">C155</f>
        <v>874509</v>
      </c>
      <c r="E152" s="400">
        <f t="shared" si="48"/>
        <v>937490</v>
      </c>
      <c r="F152" s="400">
        <f t="shared" si="48"/>
        <v>1142526</v>
      </c>
      <c r="G152" s="400">
        <f t="shared" si="48"/>
        <v>1332569</v>
      </c>
      <c r="H152" s="406">
        <f t="shared" si="48"/>
        <v>1252604</v>
      </c>
      <c r="I152" s="406">
        <f t="shared" si="48"/>
        <v>1252604</v>
      </c>
      <c r="J152" s="406">
        <f t="shared" si="48"/>
        <v>1252604</v>
      </c>
      <c r="K152" s="406">
        <f t="shared" si="48"/>
        <v>1252604</v>
      </c>
      <c r="L152" s="406">
        <f t="shared" si="48"/>
        <v>1252604</v>
      </c>
      <c r="M152" s="406">
        <f t="shared" si="48"/>
        <v>1252604</v>
      </c>
      <c r="N152" s="406">
        <f t="shared" si="48"/>
        <v>1252604</v>
      </c>
      <c r="O152" s="406">
        <f t="shared" si="48"/>
        <v>1252604</v>
      </c>
      <c r="P152" s="406">
        <f t="shared" si="48"/>
        <v>1252604</v>
      </c>
      <c r="Q152" s="406">
        <f t="shared" si="48"/>
        <v>1252604</v>
      </c>
    </row>
    <row r="153" ht="14.25" customHeight="1" spans="2:18">
      <c r="B153" s="8" t="s">
        <v>301</v>
      </c>
      <c r="C153" s="407"/>
      <c r="D153" s="407"/>
      <c r="E153" s="408"/>
      <c r="F153" s="408"/>
      <c r="G153" s="407"/>
      <c r="H153" s="12"/>
      <c r="I153" s="12"/>
      <c r="J153" s="12"/>
      <c r="K153" s="12"/>
      <c r="L153" s="12"/>
      <c r="M153" s="12"/>
      <c r="N153" s="12"/>
      <c r="O153" s="12"/>
      <c r="P153" s="12"/>
      <c r="Q153" s="409"/>
    </row>
    <row r="154" ht="14.25" customHeight="1" spans="2:18">
      <c r="B154" s="8" t="s">
        <v>302</v>
      </c>
      <c r="C154" s="410"/>
      <c r="D154" s="410"/>
      <c r="E154" s="411"/>
      <c r="F154" s="411"/>
      <c r="G154" s="400"/>
      <c r="H154" s="406"/>
      <c r="I154" s="406"/>
      <c r="J154" s="406"/>
      <c r="K154" s="406"/>
      <c r="L154" s="406"/>
      <c r="M154" s="406"/>
      <c r="N154" s="406"/>
      <c r="O154" s="406"/>
      <c r="P154" s="406"/>
      <c r="Q154" s="406"/>
    </row>
    <row r="155" ht="14.25" customHeight="1" spans="2:18">
      <c r="B155" s="401" t="s">
        <v>298</v>
      </c>
      <c r="C155" s="412">
        <f>'BS Input'!C14</f>
        <v>874509</v>
      </c>
      <c r="D155" s="412">
        <f>'BS Input'!D14</f>
        <v>937490</v>
      </c>
      <c r="E155" s="412">
        <f>'BS Input'!E14</f>
        <v>1142526</v>
      </c>
      <c r="F155" s="412">
        <f>'BS Input'!F14</f>
        <v>1332569</v>
      </c>
      <c r="G155" s="412">
        <f>'BS Input'!G14</f>
        <v>1252604</v>
      </c>
      <c r="H155" s="413">
        <f t="shared" ref="H155:Q155" si="49">G155</f>
        <v>1252604</v>
      </c>
      <c r="I155" s="413">
        <f t="shared" si="49"/>
        <v>1252604</v>
      </c>
      <c r="J155" s="413">
        <f t="shared" si="49"/>
        <v>1252604</v>
      </c>
      <c r="K155" s="413">
        <f t="shared" si="49"/>
        <v>1252604</v>
      </c>
      <c r="L155" s="413">
        <f t="shared" si="49"/>
        <v>1252604</v>
      </c>
      <c r="M155" s="413">
        <f t="shared" si="49"/>
        <v>1252604</v>
      </c>
      <c r="N155" s="413">
        <f t="shared" si="49"/>
        <v>1252604</v>
      </c>
      <c r="O155" s="413">
        <f t="shared" si="49"/>
        <v>1252604</v>
      </c>
      <c r="P155" s="413">
        <f t="shared" si="49"/>
        <v>1252604</v>
      </c>
      <c r="Q155" s="413">
        <f t="shared" si="49"/>
        <v>1252604</v>
      </c>
      <c r="R155" s="414"/>
    </row>
    <row r="156" ht="14.25" customHeight="1" spans="2:18">
      <c r="B156" s="14"/>
      <c r="C156" s="400"/>
      <c r="D156" s="400"/>
      <c r="E156" s="400"/>
      <c r="F156" s="400"/>
      <c r="G156" s="400"/>
      <c r="H156" s="406"/>
      <c r="I156" s="406"/>
      <c r="J156" s="406"/>
      <c r="K156" s="406"/>
      <c r="L156" s="406"/>
      <c r="M156" s="406"/>
      <c r="N156" s="406"/>
      <c r="O156" s="406"/>
      <c r="P156" s="406"/>
      <c r="Q156" s="406"/>
      <c r="R156" s="414"/>
    </row>
    <row r="157" ht="14.25" customHeight="1" spans="2:18">
      <c r="B157" s="383" t="s">
        <v>303</v>
      </c>
      <c r="C157" s="383">
        <f t="shared" ref="C157:Q157" si="50">C155</f>
        <v>874509</v>
      </c>
      <c r="D157" s="383">
        <f t="shared" si="50"/>
        <v>937490</v>
      </c>
      <c r="E157" s="383">
        <f t="shared" si="50"/>
        <v>1142526</v>
      </c>
      <c r="F157" s="383">
        <f t="shared" si="50"/>
        <v>1332569</v>
      </c>
      <c r="G157" s="383">
        <f t="shared" si="50"/>
        <v>1252604</v>
      </c>
      <c r="H157" s="385">
        <f t="shared" si="50"/>
        <v>1252604</v>
      </c>
      <c r="I157" s="385">
        <f t="shared" si="50"/>
        <v>1252604</v>
      </c>
      <c r="J157" s="385">
        <f t="shared" si="50"/>
        <v>1252604</v>
      </c>
      <c r="K157" s="385">
        <f t="shared" si="50"/>
        <v>1252604</v>
      </c>
      <c r="L157" s="385">
        <f t="shared" si="50"/>
        <v>1252604</v>
      </c>
      <c r="M157" s="385">
        <f t="shared" si="50"/>
        <v>1252604</v>
      </c>
      <c r="N157" s="385">
        <f t="shared" si="50"/>
        <v>1252604</v>
      </c>
      <c r="O157" s="385">
        <f t="shared" si="50"/>
        <v>1252604</v>
      </c>
      <c r="P157" s="385">
        <f t="shared" si="50"/>
        <v>1252604</v>
      </c>
      <c r="Q157" s="385">
        <f t="shared" si="50"/>
        <v>1252604</v>
      </c>
      <c r="R157" s="414"/>
    </row>
    <row r="158" ht="14.25" customHeight="1" spans="2:18">
      <c r="B158" s="8"/>
      <c r="C158" s="407"/>
      <c r="D158" s="407"/>
      <c r="E158" s="407"/>
      <c r="F158" s="407"/>
      <c r="G158" s="407"/>
      <c r="H158" s="9"/>
      <c r="I158" s="9"/>
      <c r="J158" s="9"/>
      <c r="K158" s="9"/>
      <c r="L158" s="9"/>
      <c r="M158" s="9"/>
      <c r="N158" s="9"/>
      <c r="O158" s="9"/>
      <c r="P158" s="9"/>
      <c r="Q158" s="415"/>
    </row>
    <row r="159" ht="14.25" customHeight="1" spans="2:18">
      <c r="B159" s="397" t="s">
        <v>125</v>
      </c>
      <c r="C159" s="407"/>
      <c r="D159" s="407"/>
      <c r="E159" s="407"/>
      <c r="F159" s="407"/>
      <c r="G159" s="407"/>
      <c r="H159" s="9"/>
      <c r="I159" s="9"/>
      <c r="J159" s="9"/>
      <c r="K159" s="9"/>
      <c r="L159" s="9"/>
      <c r="M159" s="9"/>
      <c r="N159" s="9"/>
      <c r="O159" s="9"/>
      <c r="P159" s="9"/>
      <c r="Q159" s="9"/>
    </row>
    <row r="160" ht="15" customHeight="1" spans="2:18">
      <c r="B160" s="14" t="s">
        <v>296</v>
      </c>
      <c r="C160" s="400">
        <f>'BS Input'!C15</f>
        <v>17161</v>
      </c>
      <c r="D160" s="400">
        <f>'BS Input'!D15</f>
        <v>383961</v>
      </c>
      <c r="E160" s="400">
        <f>'BS Input'!E15</f>
        <v>79964</v>
      </c>
      <c r="F160" s="400">
        <f>'BS Input'!F15</f>
        <v>4027</v>
      </c>
      <c r="G160" s="400">
        <f>'BS Input'!G15</f>
        <v>3250</v>
      </c>
      <c r="H160" s="406">
        <f t="shared" ref="H160:Q160" si="51">G163</f>
        <v>3250</v>
      </c>
      <c r="I160" s="406">
        <f t="shared" si="51"/>
        <v>3250</v>
      </c>
      <c r="J160" s="406">
        <f t="shared" si="51"/>
        <v>3250</v>
      </c>
      <c r="K160" s="406">
        <f t="shared" si="51"/>
        <v>3250</v>
      </c>
      <c r="L160" s="406">
        <f t="shared" si="51"/>
        <v>3250</v>
      </c>
      <c r="M160" s="406">
        <f t="shared" si="51"/>
        <v>3250</v>
      </c>
      <c r="N160" s="406">
        <f t="shared" si="51"/>
        <v>3250</v>
      </c>
      <c r="O160" s="406">
        <f t="shared" si="51"/>
        <v>3250</v>
      </c>
      <c r="P160" s="406">
        <f t="shared" si="51"/>
        <v>3250</v>
      </c>
      <c r="Q160" s="406">
        <f t="shared" si="51"/>
        <v>3250</v>
      </c>
    </row>
    <row r="161" ht="15" customHeight="1" spans="2:34">
      <c r="B161" s="8" t="s">
        <v>278</v>
      </c>
      <c r="C161" s="407"/>
      <c r="D161" s="407"/>
      <c r="E161" s="407"/>
      <c r="F161" s="407"/>
      <c r="G161" s="407"/>
      <c r="H161" s="416"/>
      <c r="I161" s="417"/>
      <c r="J161" s="417"/>
      <c r="K161" s="417"/>
      <c r="L161" s="417"/>
      <c r="M161" s="417"/>
      <c r="N161" s="417"/>
      <c r="O161" s="417"/>
      <c r="P161" s="417"/>
      <c r="Q161" s="417"/>
      <c r="S161" s="398"/>
      <c r="T161" s="398"/>
      <c r="U161" s="398"/>
      <c r="V161" s="398"/>
      <c r="W161" s="398"/>
      <c r="X161" s="398"/>
      <c r="Y161" s="398"/>
      <c r="Z161" s="398"/>
      <c r="AA161" s="398"/>
      <c r="AB161" s="398"/>
      <c r="AC161" s="398"/>
      <c r="AD161" s="398"/>
      <c r="AE161" s="398"/>
      <c r="AF161" s="398"/>
      <c r="AG161" s="398"/>
      <c r="AH161" s="398"/>
    </row>
    <row r="162" ht="14.25" customHeight="1" spans="2:34">
      <c r="B162" s="125" t="s">
        <v>304</v>
      </c>
      <c r="C162" s="74"/>
      <c r="D162" s="74"/>
      <c r="E162" s="74"/>
      <c r="F162" s="74"/>
      <c r="G162" s="74"/>
      <c r="H162" s="319"/>
      <c r="I162" s="319"/>
      <c r="J162" s="319"/>
      <c r="K162" s="319"/>
      <c r="L162" s="319"/>
      <c r="M162" s="319"/>
      <c r="N162" s="319"/>
      <c r="O162" s="319"/>
      <c r="P162" s="319"/>
      <c r="Q162" s="319"/>
    </row>
    <row r="163" ht="14.25" customHeight="1" spans="2:34">
      <c r="B163" s="418" t="s">
        <v>298</v>
      </c>
      <c r="C163" s="419">
        <f>'BS Input'!C15</f>
        <v>17161</v>
      </c>
      <c r="D163" s="419">
        <f>'BS Input'!D15</f>
        <v>383961</v>
      </c>
      <c r="E163" s="419">
        <f>'BS Input'!E15</f>
        <v>79964</v>
      </c>
      <c r="F163" s="419">
        <f>'BS Input'!F15</f>
        <v>4027</v>
      </c>
      <c r="G163" s="419">
        <f>'BS Input'!G15</f>
        <v>3250</v>
      </c>
      <c r="H163" s="420">
        <f t="shared" ref="H163:Q163" si="52">G163</f>
        <v>3250</v>
      </c>
      <c r="I163" s="420">
        <f t="shared" si="52"/>
        <v>3250</v>
      </c>
      <c r="J163" s="420">
        <f t="shared" si="52"/>
        <v>3250</v>
      </c>
      <c r="K163" s="420">
        <f t="shared" si="52"/>
        <v>3250</v>
      </c>
      <c r="L163" s="420">
        <f t="shared" si="52"/>
        <v>3250</v>
      </c>
      <c r="M163" s="420">
        <f t="shared" si="52"/>
        <v>3250</v>
      </c>
      <c r="N163" s="420">
        <f t="shared" si="52"/>
        <v>3250</v>
      </c>
      <c r="O163" s="420">
        <f t="shared" si="52"/>
        <v>3250</v>
      </c>
      <c r="P163" s="420">
        <f t="shared" si="52"/>
        <v>3250</v>
      </c>
      <c r="Q163" s="420">
        <f t="shared" si="52"/>
        <v>3250</v>
      </c>
    </row>
    <row r="164" ht="14.25" customHeight="1" spans="2:34">
      <c r="B164" s="421"/>
      <c r="C164" s="422"/>
      <c r="D164" s="422"/>
      <c r="E164" s="422"/>
      <c r="F164" s="422"/>
      <c r="G164" s="422"/>
      <c r="H164" s="423"/>
      <c r="I164" s="423"/>
      <c r="J164" s="423"/>
      <c r="K164" s="423"/>
      <c r="L164" s="423"/>
      <c r="M164" s="423"/>
      <c r="N164" s="423"/>
      <c r="O164" s="423"/>
      <c r="P164" s="423"/>
      <c r="Q164" s="423"/>
    </row>
    <row r="165" ht="15" customHeight="1" spans="2:34">
      <c r="B165" s="383" t="s">
        <v>305</v>
      </c>
      <c r="C165" s="383">
        <f t="shared" ref="C165:Q165" si="53">C163</f>
        <v>17161</v>
      </c>
      <c r="D165" s="383">
        <f t="shared" si="53"/>
        <v>383961</v>
      </c>
      <c r="E165" s="383">
        <f t="shared" si="53"/>
        <v>79964</v>
      </c>
      <c r="F165" s="383">
        <f t="shared" si="53"/>
        <v>4027</v>
      </c>
      <c r="G165" s="383">
        <f t="shared" si="53"/>
        <v>3250</v>
      </c>
      <c r="H165" s="385">
        <f t="shared" si="53"/>
        <v>3250</v>
      </c>
      <c r="I165" s="385">
        <f t="shared" si="53"/>
        <v>3250</v>
      </c>
      <c r="J165" s="385">
        <f t="shared" si="53"/>
        <v>3250</v>
      </c>
      <c r="K165" s="385">
        <f t="shared" si="53"/>
        <v>3250</v>
      </c>
      <c r="L165" s="385">
        <f t="shared" si="53"/>
        <v>3250</v>
      </c>
      <c r="M165" s="385">
        <f t="shared" si="53"/>
        <v>3250</v>
      </c>
      <c r="N165" s="385">
        <f t="shared" si="53"/>
        <v>3250</v>
      </c>
      <c r="O165" s="385">
        <f t="shared" si="53"/>
        <v>3250</v>
      </c>
      <c r="P165" s="385">
        <f t="shared" si="53"/>
        <v>3250</v>
      </c>
      <c r="Q165" s="385">
        <f t="shared" si="53"/>
        <v>3250</v>
      </c>
    </row>
    <row r="166" ht="15" customHeight="1" spans="2:34">
      <c r="C166" s="74"/>
      <c r="D166" s="74"/>
      <c r="E166" s="74"/>
      <c r="F166" s="74"/>
      <c r="G166" s="74"/>
      <c r="H166" s="319"/>
      <c r="I166" s="319"/>
      <c r="J166" s="319"/>
      <c r="K166" s="319"/>
      <c r="L166" s="319"/>
      <c r="M166" s="319"/>
      <c r="N166" s="319"/>
      <c r="O166" s="319"/>
      <c r="P166" s="319"/>
      <c r="Q166" s="319"/>
    </row>
    <row r="167" ht="14.25" customHeight="1" spans="2:34">
      <c r="B167" s="392" t="s">
        <v>306</v>
      </c>
      <c r="C167" s="424">
        <f t="shared" ref="C167:Q167" si="54">C165+C157+C149+C140</f>
        <v>2119681</v>
      </c>
      <c r="D167" s="424">
        <f t="shared" si="54"/>
        <v>2820158</v>
      </c>
      <c r="E167" s="424">
        <f t="shared" si="54"/>
        <v>2847978</v>
      </c>
      <c r="F167" s="424">
        <f t="shared" si="54"/>
        <v>3372118</v>
      </c>
      <c r="G167" s="424">
        <f t="shared" si="54"/>
        <v>3499757</v>
      </c>
      <c r="H167" s="425">
        <f t="shared" si="54"/>
        <v>4012980.2</v>
      </c>
      <c r="I167" s="425">
        <f t="shared" si="54"/>
        <v>4526203.4</v>
      </c>
      <c r="J167" s="425">
        <f t="shared" si="54"/>
        <v>5039426.6</v>
      </c>
      <c r="K167" s="425">
        <f t="shared" si="54"/>
        <v>5757939.08</v>
      </c>
      <c r="L167" s="425">
        <f t="shared" si="54"/>
        <v>6476451.56</v>
      </c>
      <c r="M167" s="425">
        <f t="shared" si="54"/>
        <v>7194964.04</v>
      </c>
      <c r="N167" s="425">
        <f t="shared" si="54"/>
        <v>8200881.512</v>
      </c>
      <c r="O167" s="425">
        <f t="shared" si="54"/>
        <v>9206798.984</v>
      </c>
      <c r="P167" s="425">
        <f t="shared" si="54"/>
        <v>10212716.456</v>
      </c>
      <c r="Q167" s="425">
        <f t="shared" si="54"/>
        <v>11621000.9168</v>
      </c>
    </row>
    <row r="168" ht="14.25" customHeight="1" spans="2:34">
      <c r="B168" s="392" t="s">
        <v>307</v>
      </c>
      <c r="C168" s="426">
        <f>'P&amp;L Input'!C28</f>
        <v>330907</v>
      </c>
      <c r="D168" s="426">
        <f>'P&amp;L Input'!D28</f>
        <v>364318</v>
      </c>
      <c r="E168" s="426">
        <f>'P&amp;L Input'!E28</f>
        <v>395376</v>
      </c>
      <c r="F168" s="426">
        <f>'P&amp;L Input'!F28</f>
        <v>455703</v>
      </c>
      <c r="G168" s="426">
        <f>'P&amp;L Input'!G28</f>
        <v>527108</v>
      </c>
      <c r="H168" s="427">
        <f t="shared" ref="H168:Q168" si="55">G168*(1+2%)</f>
        <v>537650.16</v>
      </c>
      <c r="I168" s="427">
        <f t="shared" si="55"/>
        <v>548403.1632</v>
      </c>
      <c r="J168" s="427">
        <f t="shared" si="55"/>
        <v>559371.226464</v>
      </c>
      <c r="K168" s="427">
        <f t="shared" si="55"/>
        <v>570558.65099328</v>
      </c>
      <c r="L168" s="427">
        <f t="shared" si="55"/>
        <v>581969.824013146</v>
      </c>
      <c r="M168" s="427">
        <f t="shared" si="55"/>
        <v>593609.220493409</v>
      </c>
      <c r="N168" s="427">
        <f t="shared" si="55"/>
        <v>605481.404903277</v>
      </c>
      <c r="O168" s="427">
        <f t="shared" si="55"/>
        <v>617591.033001342</v>
      </c>
      <c r="P168" s="427">
        <f t="shared" si="55"/>
        <v>629942.853661369</v>
      </c>
      <c r="Q168" s="427">
        <f t="shared" si="55"/>
        <v>642541.710734597</v>
      </c>
    </row>
    <row r="169" ht="14.25" customHeight="1" spans="2:34">
      <c r="B169" s="428" t="s">
        <v>308</v>
      </c>
      <c r="C169" s="429" t="s">
        <v>109</v>
      </c>
      <c r="D169" s="430">
        <f t="shared" ref="D169:Q169" si="56">D167+D168-C167</f>
        <v>1064795</v>
      </c>
      <c r="E169" s="430">
        <f t="shared" si="56"/>
        <v>423196</v>
      </c>
      <c r="F169" s="430">
        <f t="shared" si="56"/>
        <v>979843</v>
      </c>
      <c r="G169" s="431">
        <f t="shared" si="56"/>
        <v>654747</v>
      </c>
      <c r="H169" s="432">
        <f t="shared" si="56"/>
        <v>1050873.36</v>
      </c>
      <c r="I169" s="432">
        <f t="shared" si="56"/>
        <v>1061626.3632</v>
      </c>
      <c r="J169" s="432">
        <f t="shared" si="56"/>
        <v>1072594.426464</v>
      </c>
      <c r="K169" s="432">
        <f t="shared" si="56"/>
        <v>1289071.13099328</v>
      </c>
      <c r="L169" s="432">
        <f t="shared" si="56"/>
        <v>1300482.30401314</v>
      </c>
      <c r="M169" s="432">
        <f t="shared" si="56"/>
        <v>1312121.70049341</v>
      </c>
      <c r="N169" s="432">
        <f t="shared" si="56"/>
        <v>1611398.87690328</v>
      </c>
      <c r="O169" s="432">
        <f t="shared" si="56"/>
        <v>1623508.50500134</v>
      </c>
      <c r="P169" s="432">
        <f t="shared" si="56"/>
        <v>1635860.32566137</v>
      </c>
      <c r="Q169" s="432">
        <f t="shared" si="56"/>
        <v>2050826.1715346</v>
      </c>
    </row>
    <row r="170" ht="14.25" customHeight="1" spans="2:34">
      <c r="C170" s="429"/>
      <c r="D170" s="414"/>
      <c r="E170" s="414"/>
      <c r="F170" s="414"/>
      <c r="G170" s="414"/>
      <c r="H170" s="324"/>
      <c r="I170" s="324"/>
      <c r="J170" s="324"/>
      <c r="K170" s="324"/>
      <c r="L170" s="324"/>
      <c r="M170" s="324"/>
      <c r="N170" s="324"/>
      <c r="O170" s="324"/>
      <c r="P170" s="324"/>
      <c r="Q170" s="324"/>
    </row>
    <row r="171" ht="14.25" customHeight="1" spans="2:34">
      <c r="B171" s="392"/>
      <c r="C171" s="429"/>
      <c r="D171" s="414"/>
      <c r="E171" s="414"/>
      <c r="F171" s="414"/>
      <c r="G171" s="414"/>
      <c r="H171" s="324"/>
      <c r="I171" s="324"/>
      <c r="J171" s="324"/>
      <c r="K171" s="324"/>
      <c r="L171" s="324"/>
      <c r="M171" s="324"/>
      <c r="N171" s="324"/>
      <c r="O171" s="324"/>
      <c r="P171" s="324"/>
      <c r="Q171" s="324"/>
    </row>
    <row r="172" ht="14.25" customHeight="1" spans="2:34">
      <c r="B172" s="392" t="s">
        <v>308</v>
      </c>
      <c r="C172" s="429" t="s">
        <v>109</v>
      </c>
      <c r="D172" s="414">
        <f t="shared" ref="D172:Q172" si="57">D168-C168</f>
        <v>33411</v>
      </c>
      <c r="E172" s="414">
        <f t="shared" si="57"/>
        <v>31058</v>
      </c>
      <c r="F172" s="414">
        <f t="shared" si="57"/>
        <v>60327</v>
      </c>
      <c r="G172" s="433">
        <f t="shared" si="57"/>
        <v>71405</v>
      </c>
      <c r="H172" s="423">
        <f t="shared" si="57"/>
        <v>10542.16</v>
      </c>
      <c r="I172" s="423">
        <f t="shared" si="57"/>
        <v>10753.0032</v>
      </c>
      <c r="J172" s="423">
        <f t="shared" si="57"/>
        <v>10968.063264</v>
      </c>
      <c r="K172" s="423">
        <f t="shared" si="57"/>
        <v>11187.42452928</v>
      </c>
      <c r="L172" s="423">
        <f t="shared" si="57"/>
        <v>11411.1730198656</v>
      </c>
      <c r="M172" s="423">
        <f t="shared" si="57"/>
        <v>11639.396480263</v>
      </c>
      <c r="N172" s="423">
        <f t="shared" si="57"/>
        <v>11872.1844098682</v>
      </c>
      <c r="O172" s="423">
        <f t="shared" si="57"/>
        <v>12109.6280980655</v>
      </c>
      <c r="P172" s="423">
        <f t="shared" si="57"/>
        <v>12351.8206600269</v>
      </c>
      <c r="Q172" s="423">
        <f t="shared" si="57"/>
        <v>12598.8570732274</v>
      </c>
    </row>
    <row r="173" ht="14.25" customHeight="1" spans="2:34">
      <c r="B173" s="392" t="s">
        <v>309</v>
      </c>
      <c r="C173" s="433">
        <v>42386</v>
      </c>
      <c r="D173" s="433">
        <v>110293</v>
      </c>
      <c r="E173" s="433">
        <v>89077</v>
      </c>
      <c r="F173" s="433">
        <v>105962</v>
      </c>
      <c r="G173" s="433">
        <v>126131</v>
      </c>
      <c r="H173" s="319">
        <f t="shared" ref="H173:Q173" si="58">G173+H174</f>
        <v>147067.25</v>
      </c>
      <c r="I173" s="319">
        <f t="shared" si="58"/>
        <v>168003.5</v>
      </c>
      <c r="J173" s="319">
        <f t="shared" si="58"/>
        <v>188939.75</v>
      </c>
      <c r="K173" s="319">
        <f t="shared" si="58"/>
        <v>209876</v>
      </c>
      <c r="L173" s="319">
        <f t="shared" si="58"/>
        <v>230812.25</v>
      </c>
      <c r="M173" s="319">
        <f t="shared" si="58"/>
        <v>251748.5</v>
      </c>
      <c r="N173" s="319">
        <f t="shared" si="58"/>
        <v>272684.75</v>
      </c>
      <c r="O173" s="319">
        <f t="shared" si="58"/>
        <v>293621</v>
      </c>
      <c r="P173" s="319">
        <f t="shared" si="58"/>
        <v>314557.25</v>
      </c>
      <c r="Q173" s="319">
        <f t="shared" si="58"/>
        <v>335493.5</v>
      </c>
    </row>
    <row r="174" ht="14.25" customHeight="1" spans="2:34">
      <c r="B174" s="428" t="s">
        <v>310</v>
      </c>
      <c r="C174" s="126" t="s">
        <v>109</v>
      </c>
      <c r="D174" s="174">
        <f>D173-C173</f>
        <v>67907</v>
      </c>
      <c r="E174" s="174">
        <f>E173-D173</f>
        <v>-21216</v>
      </c>
      <c r="F174" s="174">
        <f>F173-E173</f>
        <v>16885</v>
      </c>
      <c r="G174" s="174">
        <f>G173-F173</f>
        <v>20169</v>
      </c>
      <c r="H174" s="319">
        <f t="shared" ref="H174:Q174" si="59">AVERAGE($D$174:$G$174)</f>
        <v>20936.25</v>
      </c>
      <c r="I174" s="319">
        <f t="shared" si="59"/>
        <v>20936.25</v>
      </c>
      <c r="J174" s="319">
        <f t="shared" si="59"/>
        <v>20936.25</v>
      </c>
      <c r="K174" s="319">
        <f t="shared" si="59"/>
        <v>20936.25</v>
      </c>
      <c r="L174" s="319">
        <f t="shared" si="59"/>
        <v>20936.25</v>
      </c>
      <c r="M174" s="319">
        <f t="shared" si="59"/>
        <v>20936.25</v>
      </c>
      <c r="N174" s="319">
        <f t="shared" si="59"/>
        <v>20936.25</v>
      </c>
      <c r="O174" s="319">
        <f t="shared" si="59"/>
        <v>20936.25</v>
      </c>
      <c r="P174" s="319">
        <f t="shared" si="59"/>
        <v>20936.25</v>
      </c>
      <c r="Q174" s="319">
        <f t="shared" si="59"/>
        <v>20936.25</v>
      </c>
    </row>
    <row r="175" ht="14.25" customHeight="1" spans="2:34">
      <c r="B175" s="434"/>
      <c r="H175" s="319"/>
      <c r="I175" s="319"/>
      <c r="J175" s="319"/>
      <c r="K175" s="319"/>
      <c r="L175" s="319"/>
      <c r="M175" s="319"/>
      <c r="N175" s="319"/>
      <c r="O175" s="319"/>
      <c r="P175" s="319"/>
      <c r="Q175" s="319"/>
    </row>
    <row r="176" ht="14.25" customHeight="1" spans="2:34">
      <c r="B176" s="434"/>
      <c r="H176" s="319"/>
      <c r="I176" s="319"/>
      <c r="J176" s="319"/>
      <c r="K176" s="319"/>
      <c r="L176" s="319"/>
      <c r="M176" s="319"/>
      <c r="N176" s="319"/>
      <c r="O176" s="319"/>
      <c r="P176" s="319"/>
      <c r="Q176" s="319"/>
    </row>
    <row r="177" ht="15" customHeight="1" spans="2:17">
      <c r="B177" s="392" t="s">
        <v>311</v>
      </c>
      <c r="C177" s="435" t="s">
        <v>109</v>
      </c>
      <c r="D177" s="436">
        <f t="shared" ref="D177:Q177" si="60">D169+D174</f>
        <v>1132702</v>
      </c>
      <c r="E177" s="436">
        <f t="shared" si="60"/>
        <v>401980</v>
      </c>
      <c r="F177" s="436">
        <f t="shared" si="60"/>
        <v>996728</v>
      </c>
      <c r="G177" s="436">
        <f t="shared" si="60"/>
        <v>674916</v>
      </c>
      <c r="H177" s="437">
        <f t="shared" si="60"/>
        <v>1071809.61</v>
      </c>
      <c r="I177" s="437">
        <f t="shared" si="60"/>
        <v>1082562.6132</v>
      </c>
      <c r="J177" s="437">
        <f t="shared" si="60"/>
        <v>1093530.676464</v>
      </c>
      <c r="K177" s="437">
        <f t="shared" si="60"/>
        <v>1310007.38099328</v>
      </c>
      <c r="L177" s="437">
        <f t="shared" si="60"/>
        <v>1321418.55401314</v>
      </c>
      <c r="M177" s="437">
        <f t="shared" si="60"/>
        <v>1333057.95049341</v>
      </c>
      <c r="N177" s="437">
        <f t="shared" si="60"/>
        <v>1632335.12690328</v>
      </c>
      <c r="O177" s="437">
        <f t="shared" si="60"/>
        <v>1644444.75500134</v>
      </c>
      <c r="P177" s="437">
        <f t="shared" si="60"/>
        <v>1656796.57566137</v>
      </c>
      <c r="Q177" s="437">
        <f t="shared" si="60"/>
        <v>2071762.4215346</v>
      </c>
    </row>
    <row r="178" ht="15" customHeight="1" spans="2:17">
      <c r="E178" s="438"/>
      <c r="F178" s="438"/>
      <c r="G178" s="438"/>
      <c r="H178" s="438"/>
      <c r="I178" s="438"/>
      <c r="J178" s="438"/>
      <c r="K178" s="438"/>
      <c r="L178" s="438"/>
      <c r="M178" s="438"/>
      <c r="N178" s="438"/>
      <c r="O178" s="438"/>
      <c r="P178" s="438"/>
      <c r="Q178" s="438"/>
    </row>
  </sheetData>
  <mergeCells count="4">
    <mergeCell ref="B6:Q6"/>
    <mergeCell ref="B9:Q9"/>
    <mergeCell ref="B7:B8"/>
    <mergeCell ref="A1:J4"/>
  </mergeCells>
  <pageMargins left="0.75" right="0.75" top="1" bottom="1" header="0.511811023622047" footer="0.511811023622047"/>
  <pageSetup paperSize="9" orientation="portrait" horizontalDpi="300" verticalDpi="300"/>
  <headerFooter/>
  <ignoredErrors>
    <ignoredError sqref="K57:Q166 K12:K53 N12:N53"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DDFD6"/>
  </sheetPr>
  <dimension ref="A1:R62"/>
  <sheetViews>
    <sheetView showGridLines="0" zoomScale="132" zoomScaleNormal="132" workbookViewId="0">
      <pane xSplit="3" ySplit="9" topLeftCell="D17" activePane="bottomRight" state="frozen"/>
      <selection/>
      <selection pane="topRight"/>
      <selection pane="bottomLeft"/>
      <selection pane="bottomRight" activeCell="E19" sqref="E19"/>
    </sheetView>
  </sheetViews>
  <sheetFormatPr defaultColWidth="8.89814814814815" defaultRowHeight="14.4"/>
  <cols>
    <col min="1" max="1" width="1.33333333333333" style="1" customWidth="1"/>
    <col min="3" max="3" width="36.3333333333333" style="1" customWidth="1"/>
    <col min="4" max="8" width="14.3333333333333" style="1" customWidth="1"/>
    <col min="9" max="9" width="15.5555555555556" style="1" customWidth="1"/>
    <col min="10" max="18" width="13.2222222222222" style="1" customWidth="1"/>
  </cols>
  <sheetData>
    <row r="1" ht="25.5" customHeight="1" spans="1:18">
      <c r="A1" s="2" t="s">
        <v>252</v>
      </c>
      <c r="B1" s="2"/>
      <c r="C1" s="2"/>
      <c r="D1" s="2"/>
      <c r="E1" s="2"/>
      <c r="F1" s="2"/>
      <c r="G1" s="2"/>
      <c r="H1" s="2"/>
      <c r="I1" s="2"/>
      <c r="J1" s="2"/>
      <c r="K1" s="126"/>
      <c r="L1" s="126"/>
    </row>
    <row r="2" ht="14.25" customHeight="1" spans="1:18">
      <c r="A2" s="2"/>
      <c r="B2" s="2"/>
      <c r="C2" s="2"/>
      <c r="D2" s="2"/>
      <c r="E2" s="2"/>
      <c r="F2" s="2"/>
      <c r="G2" s="2"/>
      <c r="H2" s="2"/>
      <c r="I2" s="2"/>
      <c r="J2" s="2"/>
    </row>
    <row r="3" ht="14.25" customHeight="1" spans="1:18">
      <c r="A3" s="2"/>
      <c r="B3" s="2"/>
      <c r="C3" s="2"/>
      <c r="D3" s="2"/>
      <c r="E3" s="2"/>
      <c r="F3" s="2"/>
      <c r="G3" s="2"/>
      <c r="H3" s="2"/>
      <c r="I3" s="2"/>
      <c r="J3" s="2"/>
    </row>
    <row r="4" ht="14.25" customHeight="1" spans="1:18">
      <c r="A4" s="2"/>
      <c r="B4" s="2"/>
      <c r="C4" s="2"/>
      <c r="D4" s="2"/>
      <c r="E4" s="2"/>
      <c r="F4" s="2"/>
      <c r="G4" s="2"/>
      <c r="H4" s="2"/>
      <c r="I4" s="2"/>
      <c r="J4" s="2"/>
    </row>
    <row r="6" ht="14.25" customHeight="1" spans="1:18">
      <c r="R6" s="244" t="s">
        <v>51</v>
      </c>
    </row>
    <row r="7" ht="15" customHeight="1" spans="1:18">
      <c r="B7" s="343" t="s">
        <v>312</v>
      </c>
      <c r="C7" s="343"/>
      <c r="D7" s="343"/>
      <c r="E7" s="343"/>
      <c r="F7" s="343"/>
      <c r="G7" s="343"/>
      <c r="H7" s="343"/>
      <c r="I7" s="343"/>
      <c r="J7" s="343"/>
      <c r="K7" s="343"/>
      <c r="L7" s="343"/>
      <c r="M7" s="343"/>
      <c r="N7" s="343"/>
      <c r="O7" s="343"/>
      <c r="P7" s="343"/>
      <c r="Q7" s="343"/>
      <c r="R7" s="343"/>
    </row>
    <row r="8" ht="14.25" customHeight="1" spans="1:18">
      <c r="B8" s="356" t="s">
        <v>39</v>
      </c>
      <c r="C8" s="356"/>
      <c r="D8" s="5">
        <f>FAS!C7</f>
        <v>2022</v>
      </c>
      <c r="E8" s="5">
        <f>FAS!D7</f>
        <v>2023</v>
      </c>
      <c r="F8" s="5">
        <f>FAS!E7</f>
        <v>2024</v>
      </c>
      <c r="G8" s="5">
        <f>FAS!F7</f>
        <v>2025</v>
      </c>
      <c r="H8" s="5">
        <f>FAS!G7</f>
        <v>2026</v>
      </c>
      <c r="I8" s="5">
        <f>FAS!H7</f>
        <v>2027</v>
      </c>
      <c r="J8" s="5">
        <f>FAS!I7</f>
        <v>2028</v>
      </c>
      <c r="K8" s="5">
        <f>FAS!J7</f>
        <v>2029</v>
      </c>
      <c r="L8" s="5">
        <f>FAS!K7</f>
        <v>2030</v>
      </c>
      <c r="M8" s="5">
        <f>FAS!L7</f>
        <v>2031</v>
      </c>
      <c r="N8" s="5">
        <f>FAS!M7</f>
        <v>2032</v>
      </c>
      <c r="O8" s="5">
        <f>FAS!N7</f>
        <v>2033</v>
      </c>
      <c r="P8" s="5">
        <f>FAS!O7</f>
        <v>2034</v>
      </c>
      <c r="Q8" s="5">
        <f>FAS!P7</f>
        <v>2035</v>
      </c>
      <c r="R8" s="5">
        <f>FAS!Q7</f>
        <v>2036</v>
      </c>
    </row>
    <row r="9" ht="14.25" customHeight="1" spans="1:18">
      <c r="B9" s="356"/>
      <c r="C9" s="356"/>
      <c r="D9" s="6" t="s">
        <v>85</v>
      </c>
      <c r="E9" s="6" t="s">
        <v>85</v>
      </c>
      <c r="F9" s="6" t="s">
        <v>85</v>
      </c>
      <c r="G9" s="6" t="s">
        <v>85</v>
      </c>
      <c r="H9" s="6" t="s">
        <v>85</v>
      </c>
      <c r="I9" s="7" t="s">
        <v>254</v>
      </c>
      <c r="J9" s="7" t="s">
        <v>255</v>
      </c>
      <c r="K9" s="7" t="s">
        <v>255</v>
      </c>
      <c r="L9" s="7" t="s">
        <v>255</v>
      </c>
      <c r="M9" s="7" t="s">
        <v>255</v>
      </c>
      <c r="N9" s="7" t="s">
        <v>255</v>
      </c>
      <c r="O9" s="7" t="s">
        <v>255</v>
      </c>
      <c r="P9" s="7" t="s">
        <v>255</v>
      </c>
      <c r="Q9" s="7" t="s">
        <v>255</v>
      </c>
      <c r="R9" s="7" t="s">
        <v>255</v>
      </c>
    </row>
    <row r="10" ht="14.25" customHeight="1" spans="1:18">
      <c r="B10" s="357" t="s">
        <v>118</v>
      </c>
      <c r="C10" s="357"/>
      <c r="D10" s="358"/>
      <c r="E10" s="8"/>
      <c r="F10" s="8"/>
      <c r="G10" s="8"/>
      <c r="H10" s="8"/>
      <c r="I10" s="9"/>
      <c r="J10" s="9"/>
      <c r="K10" s="9"/>
      <c r="L10" s="9"/>
      <c r="M10" s="9"/>
      <c r="N10" s="9"/>
      <c r="O10" s="9"/>
      <c r="P10" s="9"/>
      <c r="Q10" s="9"/>
      <c r="R10" s="9"/>
    </row>
    <row r="11" ht="14.25" customHeight="1" spans="1:18">
      <c r="B11" s="358"/>
      <c r="C11" s="357"/>
      <c r="D11" s="358"/>
      <c r="E11" s="8"/>
      <c r="F11" s="8"/>
      <c r="G11" s="8"/>
      <c r="H11" s="8"/>
      <c r="I11" s="9"/>
      <c r="J11" s="9"/>
      <c r="K11" s="9"/>
      <c r="L11" s="9"/>
      <c r="M11" s="9"/>
      <c r="N11" s="9"/>
      <c r="O11" s="9"/>
      <c r="P11" s="9"/>
      <c r="Q11" s="9"/>
      <c r="R11" s="9"/>
    </row>
    <row r="12" ht="14.25" customHeight="1" spans="1:18">
      <c r="B12" s="359" t="s">
        <v>313</v>
      </c>
      <c r="C12" s="360"/>
      <c r="D12" s="24"/>
      <c r="E12" s="8"/>
      <c r="F12" s="8"/>
      <c r="G12" s="8"/>
      <c r="H12" s="8"/>
      <c r="I12" s="9"/>
      <c r="J12" s="9"/>
      <c r="K12" s="9"/>
      <c r="L12" s="9"/>
      <c r="M12" s="9"/>
      <c r="N12" s="9"/>
      <c r="O12" s="9"/>
      <c r="P12" s="9"/>
      <c r="Q12" s="9"/>
      <c r="R12" s="9"/>
    </row>
    <row r="13" ht="14.25" customHeight="1" spans="1:18">
      <c r="C13" s="361" t="str">
        <f>'BS Input'!B16</f>
        <v>Investment in Joint Ventures &amp; Associates</v>
      </c>
      <c r="D13" s="362">
        <f>'BS Input'!C16</f>
        <v>284268</v>
      </c>
      <c r="E13" s="362">
        <f>'BS Input'!D16</f>
        <v>281838</v>
      </c>
      <c r="F13" s="362">
        <f>'BS Input'!E16</f>
        <v>312404</v>
      </c>
      <c r="G13" s="362">
        <f>'BS Input'!F16</f>
        <v>36416</v>
      </c>
      <c r="H13" s="362">
        <f>'BS Input'!G16</f>
        <v>40622</v>
      </c>
      <c r="I13" s="9">
        <f>'Revenue Buildup'!H$14*I14</f>
        <v>353269.208084806</v>
      </c>
      <c r="J13" s="9">
        <f>'Revenue Buildup'!I$14*J14</f>
        <v>397734.81128992</v>
      </c>
      <c r="K13" s="9">
        <f>'Revenue Buildup'!J$14*K14</f>
        <v>443677.061448573</v>
      </c>
      <c r="L13" s="9">
        <f>'Revenue Buildup'!K$14*L14</f>
        <v>490334.875443726</v>
      </c>
      <c r="M13" s="9">
        <f>'Revenue Buildup'!L$14*M14</f>
        <v>536833.624245318</v>
      </c>
      <c r="N13" s="9">
        <f>'Revenue Buildup'!M$14*N14</f>
        <v>582208.444428735</v>
      </c>
      <c r="O13" s="9">
        <f>'Revenue Buildup'!N$14*O14</f>
        <v>625435.097315375</v>
      </c>
      <c r="P13" s="9">
        <f>'Revenue Buildup'!O$14*P14</f>
        <v>665467.25708426</v>
      </c>
      <c r="Q13" s="9">
        <f>'Revenue Buildup'!P$14*Q14</f>
        <v>701278.483914827</v>
      </c>
      <c r="R13" s="9">
        <f>'Revenue Buildup'!Q$14*R14</f>
        <v>731906.594108699</v>
      </c>
    </row>
    <row r="14" ht="14.25" customHeight="1" spans="1:18">
      <c r="B14" s="359"/>
      <c r="C14" s="360"/>
      <c r="D14" s="341">
        <f>D13/'P&amp;L Input'!C$11</f>
        <v>0.243908675391623</v>
      </c>
      <c r="E14" s="341">
        <f>E13/'P&amp;L Input'!D$11</f>
        <v>0.202550149197095</v>
      </c>
      <c r="F14" s="341">
        <f>F13/'P&amp;L Input'!E$11</f>
        <v>0.208293773136048</v>
      </c>
      <c r="G14" s="341">
        <f>G13/'P&amp;L Input'!F$11</f>
        <v>0.0210515119212511</v>
      </c>
      <c r="H14" s="341">
        <f>H13/'P&amp;L Input'!G$11</f>
        <v>0.0192546148129048</v>
      </c>
      <c r="I14" s="363">
        <f>AVERAGE(D14:H14)</f>
        <v>0.139011744891785</v>
      </c>
      <c r="J14" s="363">
        <f t="shared" ref="J14:R14" si="0">I14</f>
        <v>0.139011744891785</v>
      </c>
      <c r="K14" s="363">
        <f t="shared" si="0"/>
        <v>0.139011744891785</v>
      </c>
      <c r="L14" s="363">
        <f t="shared" si="0"/>
        <v>0.139011744891785</v>
      </c>
      <c r="M14" s="363">
        <f t="shared" si="0"/>
        <v>0.139011744891785</v>
      </c>
      <c r="N14" s="363">
        <f t="shared" si="0"/>
        <v>0.139011744891785</v>
      </c>
      <c r="O14" s="363">
        <f t="shared" si="0"/>
        <v>0.139011744891785</v>
      </c>
      <c r="P14" s="363">
        <f t="shared" si="0"/>
        <v>0.139011744891785</v>
      </c>
      <c r="Q14" s="363">
        <f t="shared" si="0"/>
        <v>0.139011744891785</v>
      </c>
      <c r="R14" s="363">
        <f t="shared" si="0"/>
        <v>0.139011744891785</v>
      </c>
    </row>
    <row r="15" ht="14.25" customHeight="1" spans="1:18">
      <c r="B15" s="8"/>
      <c r="C15" s="346" t="str">
        <f>'BS Input'!B18</f>
        <v>Investments</v>
      </c>
      <c r="D15" s="65">
        <f>'BS Input'!C18</f>
        <v>609</v>
      </c>
      <c r="E15" s="65">
        <f>'BS Input'!D18</f>
        <v>656</v>
      </c>
      <c r="F15" s="65">
        <f>'BS Input'!E18</f>
        <v>924</v>
      </c>
      <c r="G15" s="65">
        <f>'BS Input'!F18</f>
        <v>5435</v>
      </c>
      <c r="H15" s="65">
        <f>'BS Input'!G18</f>
        <v>11385</v>
      </c>
      <c r="I15" s="12">
        <f>'Revenue Buildup'!H$14*I16</f>
        <v>5157.99482671769</v>
      </c>
      <c r="J15" s="12">
        <f>'Revenue Buildup'!I$14*J16</f>
        <v>5807.22591182206</v>
      </c>
      <c r="K15" s="12">
        <f>'Revenue Buildup'!J$14*K16</f>
        <v>6478.01714757906</v>
      </c>
      <c r="L15" s="12">
        <f>'Revenue Buildup'!K$14*L16</f>
        <v>7159.25615088099</v>
      </c>
      <c r="M15" s="12">
        <f>'Revenue Buildup'!L$14*M16</f>
        <v>7838.17268331164</v>
      </c>
      <c r="N15" s="12">
        <f>'Revenue Buildup'!M$14*N16</f>
        <v>8500.67901676237</v>
      </c>
      <c r="O15" s="12">
        <f>'Revenue Buildup'!N$14*O16</f>
        <v>9131.82049997957</v>
      </c>
      <c r="P15" s="12">
        <f>'Revenue Buildup'!O$14*P16</f>
        <v>9716.31999290078</v>
      </c>
      <c r="Q15" s="12">
        <f>'Revenue Buildup'!P$14*Q16</f>
        <v>10239.1907059524</v>
      </c>
      <c r="R15" s="12">
        <f>'Revenue Buildup'!Q$14*R16</f>
        <v>10686.3840370343</v>
      </c>
    </row>
    <row r="16" ht="14.25" customHeight="1" spans="1:18">
      <c r="B16" s="8"/>
      <c r="C16" s="346"/>
      <c r="D16" s="364">
        <f>D15/'P&amp;L Input'!C$11</f>
        <v>0.000522536420960146</v>
      </c>
      <c r="E16" s="364">
        <f>E15/'P&amp;L Input'!D$11</f>
        <v>0.000471451322650936</v>
      </c>
      <c r="F16" s="364">
        <f>F15/'P&amp;L Input'!E$11</f>
        <v>0.000616072285814869</v>
      </c>
      <c r="G16" s="364">
        <f>G15/'P&amp;L Input'!F$11</f>
        <v>0.00314188728284269</v>
      </c>
      <c r="H16" s="364">
        <f>H15/'P&amp;L Input'!G$11</f>
        <v>0.00539643025072426</v>
      </c>
      <c r="I16" s="363">
        <f>AVERAGE(D16:H16)</f>
        <v>0.00202967551259858</v>
      </c>
      <c r="J16" s="363">
        <f t="shared" ref="J16:R16" si="1">I16</f>
        <v>0.00202967551259858</v>
      </c>
      <c r="K16" s="363">
        <f t="shared" si="1"/>
        <v>0.00202967551259858</v>
      </c>
      <c r="L16" s="363">
        <f t="shared" si="1"/>
        <v>0.00202967551259858</v>
      </c>
      <c r="M16" s="363">
        <f t="shared" si="1"/>
        <v>0.00202967551259858</v>
      </c>
      <c r="N16" s="363">
        <f t="shared" si="1"/>
        <v>0.00202967551259858</v>
      </c>
      <c r="O16" s="363">
        <f t="shared" si="1"/>
        <v>0.00202967551259858</v>
      </c>
      <c r="P16" s="363">
        <f t="shared" si="1"/>
        <v>0.00202967551259858</v>
      </c>
      <c r="Q16" s="363">
        <f t="shared" si="1"/>
        <v>0.00202967551259858</v>
      </c>
      <c r="R16" s="363">
        <f t="shared" si="1"/>
        <v>0.00202967551259858</v>
      </c>
    </row>
    <row r="17" ht="14.25" customHeight="1" spans="2:18">
      <c r="B17" s="8"/>
      <c r="C17" s="346" t="s">
        <v>314</v>
      </c>
      <c r="D17" s="65">
        <f>'BS Input'!C22</f>
        <v>22515</v>
      </c>
      <c r="E17" s="65">
        <f>'BS Input'!D22</f>
        <v>25963</v>
      </c>
      <c r="F17" s="65">
        <f>'BS Input'!E22</f>
        <v>26557</v>
      </c>
      <c r="G17" s="65">
        <f>'BS Input'!F22</f>
        <v>37471</v>
      </c>
      <c r="H17" s="65">
        <f>'BS Input'!G22</f>
        <v>35700</v>
      </c>
      <c r="I17" s="12">
        <f>'Revenue Buildup'!H$14*I18</f>
        <v>47912.0300912062</v>
      </c>
      <c r="J17" s="12">
        <f>'Revenue Buildup'!I$14*J18</f>
        <v>53942.6641516636</v>
      </c>
      <c r="K17" s="12">
        <f>'Revenue Buildup'!J$14*K18</f>
        <v>60173.5680110532</v>
      </c>
      <c r="L17" s="12">
        <f>'Revenue Buildup'!K$14*L18</f>
        <v>66501.5200005428</v>
      </c>
      <c r="M17" s="12">
        <f>'Revenue Buildup'!L$14*M18</f>
        <v>72807.8988209989</v>
      </c>
      <c r="N17" s="12">
        <f>'Revenue Buildup'!M$14*N18</f>
        <v>78961.8451606669</v>
      </c>
      <c r="O17" s="12">
        <f>'Revenue Buildup'!N$14*O18</f>
        <v>84824.4469568293</v>
      </c>
      <c r="P17" s="12">
        <f>'Revenue Buildup'!O$14*P18</f>
        <v>90253.7965847265</v>
      </c>
      <c r="Q17" s="12">
        <f>'Revenue Buildup'!P$14*Q18</f>
        <v>95110.6834524244</v>
      </c>
      <c r="R17" s="12">
        <f>'Revenue Buildup'!Q$14*R18</f>
        <v>99264.6116852334</v>
      </c>
    </row>
    <row r="18" ht="14.25" customHeight="1" spans="2:18">
      <c r="B18" s="8"/>
      <c r="C18" s="346"/>
      <c r="D18" s="365">
        <f>D17/'P&amp;L Input'!C$11</f>
        <v>0.0193184031492901</v>
      </c>
      <c r="E18" s="365">
        <f>E17/'P&amp;L Input'!D$11</f>
        <v>0.0186589797103449</v>
      </c>
      <c r="F18" s="365">
        <f>F17/'P&amp;L Input'!E$11</f>
        <v>0.0177067442579929</v>
      </c>
      <c r="G18" s="365">
        <f>G17/'P&amp;L Input'!F$11</f>
        <v>0.0216613906854459</v>
      </c>
      <c r="H18" s="365">
        <f>H17/'P&amp;L Input'!G$11</f>
        <v>0.0169216126439048</v>
      </c>
      <c r="I18" s="348">
        <f>AVERAGE(D18:H18)</f>
        <v>0.0188534260893957</v>
      </c>
      <c r="J18" s="348">
        <f t="shared" ref="J18:R18" si="2">I18</f>
        <v>0.0188534260893957</v>
      </c>
      <c r="K18" s="348">
        <f t="shared" si="2"/>
        <v>0.0188534260893957</v>
      </c>
      <c r="L18" s="348">
        <f t="shared" si="2"/>
        <v>0.0188534260893957</v>
      </c>
      <c r="M18" s="348">
        <f t="shared" si="2"/>
        <v>0.0188534260893957</v>
      </c>
      <c r="N18" s="348">
        <f t="shared" si="2"/>
        <v>0.0188534260893957</v>
      </c>
      <c r="O18" s="348">
        <f t="shared" si="2"/>
        <v>0.0188534260893957</v>
      </c>
      <c r="P18" s="348">
        <f t="shared" si="2"/>
        <v>0.0188534260893957</v>
      </c>
      <c r="Q18" s="348">
        <f t="shared" si="2"/>
        <v>0.0188534260893957</v>
      </c>
      <c r="R18" s="348">
        <f t="shared" si="2"/>
        <v>0.0188534260893957</v>
      </c>
    </row>
    <row r="19" ht="14.25" customHeight="1" spans="2:18">
      <c r="B19" s="8"/>
      <c r="C19" s="8" t="s">
        <v>315</v>
      </c>
      <c r="D19" s="65">
        <f>'BS Input'!C23</f>
        <v>17479</v>
      </c>
      <c r="E19" s="65">
        <f>'BS Input'!D23</f>
        <v>20399</v>
      </c>
      <c r="F19" s="65">
        <f>'BS Input'!E23</f>
        <v>14135</v>
      </c>
      <c r="G19" s="65">
        <f>'BS Input'!F23</f>
        <v>24978</v>
      </c>
      <c r="H19" s="65">
        <f>'BS Input'!G23</f>
        <v>20181</v>
      </c>
      <c r="I19" s="12">
        <f>'Revenue Buildup'!H14*I20</f>
        <v>32064.5666545026</v>
      </c>
      <c r="J19" s="12">
        <f>'Revenue Buildup'!I14*J20</f>
        <v>36100.4980778288</v>
      </c>
      <c r="K19" s="12">
        <f>'Revenue Buildup'!J14*K20</f>
        <v>40270.4577254762</v>
      </c>
      <c r="L19" s="12">
        <f>'Revenue Buildup'!K14*L20</f>
        <v>44505.365700931</v>
      </c>
      <c r="M19" s="12">
        <f>'Revenue Buildup'!L14*M20</f>
        <v>48725.8360849269</v>
      </c>
      <c r="N19" s="12">
        <f>'Revenue Buildup'!M14*N20</f>
        <v>52844.2928111581</v>
      </c>
      <c r="O19" s="12">
        <f>'Revenue Buildup'!N14*O20</f>
        <v>56767.7706037711</v>
      </c>
      <c r="P19" s="12">
        <f>'Revenue Buildup'!O14*P20</f>
        <v>60401.2994419963</v>
      </c>
      <c r="Q19" s="12">
        <f>'Revenue Buildup'!P14*Q20</f>
        <v>63651.7142627881</v>
      </c>
      <c r="R19" s="12">
        <f>'Revenue Buildup'!Q14*R20</f>
        <v>66431.6822258523</v>
      </c>
    </row>
    <row r="20" ht="14.25" customHeight="1" spans="2:18">
      <c r="B20" s="8"/>
      <c r="C20" s="346"/>
      <c r="D20" s="365">
        <f>D19/'P&amp;L Input'!C$11</f>
        <v>0.014997395898132</v>
      </c>
      <c r="E20" s="365">
        <f>E19/'P&amp;L Input'!D$11</f>
        <v>0.0146602675773726</v>
      </c>
      <c r="F20" s="365">
        <f>F19/'P&amp;L Input'!E$11</f>
        <v>0.00942443913419175</v>
      </c>
      <c r="G20" s="365">
        <f>G19/'P&amp;L Input'!F$11</f>
        <v>0.0144393855659328</v>
      </c>
      <c r="H20" s="365">
        <f>H19/'P&amp;L Input'!G$11</f>
        <v>0.00956568808870148</v>
      </c>
      <c r="I20" s="348">
        <f>AVERAGE(D20:H20)</f>
        <v>0.0126174352528661</v>
      </c>
      <c r="J20" s="348">
        <f t="shared" ref="J20:R20" si="3">I20</f>
        <v>0.0126174352528661</v>
      </c>
      <c r="K20" s="348">
        <f t="shared" si="3"/>
        <v>0.0126174352528661</v>
      </c>
      <c r="L20" s="348">
        <f t="shared" si="3"/>
        <v>0.0126174352528661</v>
      </c>
      <c r="M20" s="348">
        <f t="shared" si="3"/>
        <v>0.0126174352528661</v>
      </c>
      <c r="N20" s="348">
        <f t="shared" si="3"/>
        <v>0.0126174352528661</v>
      </c>
      <c r="O20" s="348">
        <f t="shared" si="3"/>
        <v>0.0126174352528661</v>
      </c>
      <c r="P20" s="348">
        <f t="shared" si="3"/>
        <v>0.0126174352528661</v>
      </c>
      <c r="Q20" s="348">
        <f t="shared" si="3"/>
        <v>0.0126174352528661</v>
      </c>
      <c r="R20" s="348">
        <f t="shared" si="3"/>
        <v>0.0126174352528661</v>
      </c>
    </row>
    <row r="21" ht="14.25" customHeight="1" spans="2:18">
      <c r="B21" s="8"/>
      <c r="C21" s="346" t="s">
        <v>316</v>
      </c>
      <c r="D21" s="65">
        <f>'BS Input'!C24</f>
        <v>199250</v>
      </c>
      <c r="E21" s="65">
        <f>'BS Input'!D24</f>
        <v>189519</v>
      </c>
      <c r="F21" s="65">
        <f>'BS Input'!E24</f>
        <v>192428</v>
      </c>
      <c r="G21" s="65">
        <f>'BS Input'!F24</f>
        <v>249111</v>
      </c>
      <c r="H21" s="65">
        <f>'BS Input'!G24</f>
        <v>191413</v>
      </c>
      <c r="I21" s="12">
        <f>'Revenue Buildup'!H$14*I22</f>
        <v>340634.661615645</v>
      </c>
      <c r="J21" s="12">
        <f>'Revenue Buildup'!I$14*J22</f>
        <v>383509.968477016</v>
      </c>
      <c r="K21" s="12">
        <f>'Revenue Buildup'!J$14*K22</f>
        <v>427809.110543475</v>
      </c>
      <c r="L21" s="12">
        <f>'Revenue Buildup'!K$14*L22</f>
        <v>472798.224562576</v>
      </c>
      <c r="M21" s="12">
        <f>'Revenue Buildup'!L$14*M22</f>
        <v>517633.962297688</v>
      </c>
      <c r="N21" s="12">
        <f>'Revenue Buildup'!M$14*N22</f>
        <v>561385.968318372</v>
      </c>
      <c r="O21" s="12">
        <f>'Revenue Buildup'!N$14*O22</f>
        <v>603066.635474857</v>
      </c>
      <c r="P21" s="12">
        <f>'Revenue Buildup'!O$14*P22</f>
        <v>641667.059413713</v>
      </c>
      <c r="Q21" s="12">
        <f>'Revenue Buildup'!P$14*Q22</f>
        <v>676197.51056626</v>
      </c>
      <c r="R21" s="12">
        <f>'Revenue Buildup'!Q$14*R22</f>
        <v>705730.217388847</v>
      </c>
    </row>
    <row r="22" ht="14.25" customHeight="1" spans="2:18">
      <c r="B22" s="8"/>
      <c r="C22" s="346"/>
      <c r="D22" s="365">
        <f>D21/'P&amp;L Input'!C$11</f>
        <v>0.1709612181877</v>
      </c>
      <c r="E22" s="365">
        <f>E21/'P&amp;L Input'!D$11</f>
        <v>0.136202718319334</v>
      </c>
      <c r="F22" s="365">
        <f>F21/'P&amp;L Input'!E$11</f>
        <v>0.128300387245437</v>
      </c>
      <c r="G22" s="365">
        <f>G21/'P&amp;L Input'!F$11</f>
        <v>0.144007117371891</v>
      </c>
      <c r="H22" s="365">
        <f>H21/'P&amp;L Input'!G$11</f>
        <v>0.0907287574511975</v>
      </c>
      <c r="I22" s="348">
        <f>AVERAGE(D22:H22)</f>
        <v>0.134040039715112</v>
      </c>
      <c r="J22" s="348">
        <f t="shared" ref="J22:R22" si="4">I22</f>
        <v>0.134040039715112</v>
      </c>
      <c r="K22" s="348">
        <f t="shared" si="4"/>
        <v>0.134040039715112</v>
      </c>
      <c r="L22" s="348">
        <f t="shared" si="4"/>
        <v>0.134040039715112</v>
      </c>
      <c r="M22" s="348">
        <f t="shared" si="4"/>
        <v>0.134040039715112</v>
      </c>
      <c r="N22" s="348">
        <f t="shared" si="4"/>
        <v>0.134040039715112</v>
      </c>
      <c r="O22" s="348">
        <f t="shared" si="4"/>
        <v>0.134040039715112</v>
      </c>
      <c r="P22" s="348">
        <f t="shared" si="4"/>
        <v>0.134040039715112</v>
      </c>
      <c r="Q22" s="348">
        <f t="shared" si="4"/>
        <v>0.134040039715112</v>
      </c>
      <c r="R22" s="348">
        <f t="shared" si="4"/>
        <v>0.134040039715112</v>
      </c>
    </row>
    <row r="23" ht="14.25" customHeight="1" spans="2:18">
      <c r="B23" s="8"/>
      <c r="C23" s="8" t="s">
        <v>317</v>
      </c>
      <c r="D23" s="65">
        <f>'BS Input'!C25</f>
        <v>91562</v>
      </c>
      <c r="E23" s="65">
        <f>'BS Input'!D25</f>
        <v>103898</v>
      </c>
      <c r="F23" s="65">
        <f>'BS Input'!E25</f>
        <v>112159</v>
      </c>
      <c r="G23" s="65">
        <f>'BS Input'!F25</f>
        <v>116638</v>
      </c>
      <c r="H23" s="65">
        <f>'BS Input'!G25</f>
        <v>124770</v>
      </c>
      <c r="I23" s="12">
        <f>'Revenue Buildup'!H$14*I24</f>
        <v>239429.281412753</v>
      </c>
      <c r="J23" s="12">
        <f>'Revenue Buildup'!I$14*J24</f>
        <v>269565.979373786</v>
      </c>
      <c r="K23" s="12">
        <f>'Revenue Buildup'!J$14*K24</f>
        <v>300703.479303672</v>
      </c>
      <c r="L23" s="12">
        <f>'Revenue Buildup'!K$14*L24</f>
        <v>332325.954802492</v>
      </c>
      <c r="M23" s="12">
        <f>'Revenue Buildup'!L$14*M24</f>
        <v>363840.623382055</v>
      </c>
      <c r="N23" s="12">
        <f>'Revenue Buildup'!M$14*N24</f>
        <v>394593.545918514</v>
      </c>
      <c r="O23" s="12">
        <f>'Revenue Buildup'!N$14*O24</f>
        <v>423890.541528848</v>
      </c>
      <c r="P23" s="12">
        <f>'Revenue Buildup'!O$14*P24</f>
        <v>451022.459702038</v>
      </c>
      <c r="Q23" s="12">
        <f>'Revenue Buildup'!P$14*Q24</f>
        <v>475293.627724396</v>
      </c>
      <c r="R23" s="12">
        <f>'Revenue Buildup'!Q$14*R24</f>
        <v>496051.922664693</v>
      </c>
    </row>
    <row r="24" ht="14.25" customHeight="1" spans="2:18">
      <c r="B24" s="8"/>
      <c r="C24" s="346"/>
      <c r="D24" s="365">
        <f>D23/'P&amp;L Input'!$C$11</f>
        <v>0.0785623641641262</v>
      </c>
      <c r="E24" s="365">
        <f>E23/'P&amp;L Input'!$C$11</f>
        <v>0.0891469442773682</v>
      </c>
      <c r="F24" s="365">
        <f>F23/'P&amp;L Input'!$C$11</f>
        <v>0.0962350778956798</v>
      </c>
      <c r="G24" s="365">
        <f>G23/'P&amp;L Input'!$C$11</f>
        <v>0.100078165957224</v>
      </c>
      <c r="H24" s="365">
        <f>H23/'P&amp;L Input'!$C$11</f>
        <v>0.10705561452085</v>
      </c>
      <c r="I24" s="348">
        <f>AVERAGE(D24:H24)</f>
        <v>0.0942156333630496</v>
      </c>
      <c r="J24" s="348">
        <f t="shared" ref="J24:R24" si="5">I24</f>
        <v>0.0942156333630496</v>
      </c>
      <c r="K24" s="348">
        <f t="shared" si="5"/>
        <v>0.0942156333630496</v>
      </c>
      <c r="L24" s="348">
        <f t="shared" si="5"/>
        <v>0.0942156333630496</v>
      </c>
      <c r="M24" s="348">
        <f t="shared" si="5"/>
        <v>0.0942156333630496</v>
      </c>
      <c r="N24" s="348">
        <f t="shared" si="5"/>
        <v>0.0942156333630496</v>
      </c>
      <c r="O24" s="348">
        <f t="shared" si="5"/>
        <v>0.0942156333630496</v>
      </c>
      <c r="P24" s="348">
        <f t="shared" si="5"/>
        <v>0.0942156333630496</v>
      </c>
      <c r="Q24" s="348">
        <f t="shared" si="5"/>
        <v>0.0942156333630496</v>
      </c>
      <c r="R24" s="348">
        <f t="shared" si="5"/>
        <v>0.0942156333630496</v>
      </c>
    </row>
    <row r="25" ht="14.25" customHeight="1" spans="2:18">
      <c r="B25" s="14" t="s">
        <v>138</v>
      </c>
      <c r="C25" s="355"/>
      <c r="D25" s="14"/>
      <c r="E25" s="14"/>
      <c r="F25" s="14"/>
      <c r="G25" s="14"/>
      <c r="H25" s="14"/>
      <c r="I25" s="205"/>
      <c r="J25" s="205"/>
      <c r="K25" s="205"/>
      <c r="L25" s="205"/>
      <c r="M25" s="205"/>
      <c r="N25" s="205"/>
      <c r="O25" s="205"/>
      <c r="P25" s="205"/>
      <c r="Q25" s="205"/>
      <c r="R25" s="205"/>
    </row>
    <row r="26" ht="14.25" customHeight="1" spans="2:18">
      <c r="B26" s="8"/>
      <c r="C26" s="346" t="s">
        <v>128</v>
      </c>
      <c r="D26" s="65">
        <f>'BS Input'!C28</f>
        <v>3750</v>
      </c>
      <c r="E26" s="65">
        <f>'BS Input'!D28</f>
        <v>2576</v>
      </c>
      <c r="F26" s="65">
        <f>'BS Input'!E28</f>
        <v>3639</v>
      </c>
      <c r="G26" s="65">
        <f>'BS Input'!F28</f>
        <v>4517</v>
      </c>
      <c r="H26" s="65">
        <f>'BS Input'!G28</f>
        <v>6009</v>
      </c>
      <c r="I26" s="12">
        <f>'Revenue Buildup'!H$14*I27</f>
        <v>8936.07309918952</v>
      </c>
      <c r="J26" s="12">
        <f>'Revenue Buildup'!I$14*J27</f>
        <v>10060.8467039841</v>
      </c>
      <c r="K26" s="12">
        <f>'Revenue Buildup'!J$14*K27</f>
        <v>11222.9726305109</v>
      </c>
      <c r="L26" s="12">
        <f>'Revenue Buildup'!K$14*L27</f>
        <v>12403.1990045259</v>
      </c>
      <c r="M26" s="12">
        <f>'Revenue Buildup'!L$14*M27</f>
        <v>13579.4017666193</v>
      </c>
      <c r="N26" s="12">
        <f>'Revenue Buildup'!M$14*N27</f>
        <v>14727.1743455536</v>
      </c>
      <c r="O26" s="12">
        <f>'Revenue Buildup'!N$14*O27</f>
        <v>15820.6082514478</v>
      </c>
      <c r="P26" s="12">
        <f>'Revenue Buildup'!O$14*P27</f>
        <v>16833.2362921213</v>
      </c>
      <c r="Q26" s="12">
        <f>'Revenue Buildup'!P$14*Q27</f>
        <v>17739.0942990064</v>
      </c>
      <c r="R26" s="12">
        <f>'Revenue Buildup'!Q$14*R27</f>
        <v>18513.8434855157</v>
      </c>
    </row>
    <row r="27" ht="14.25" customHeight="1" spans="2:18">
      <c r="B27" s="8"/>
      <c r="C27" s="346"/>
      <c r="D27" s="364">
        <f>D26/'P&amp;L Input'!$C$11</f>
        <v>0.00321758879901568</v>
      </c>
      <c r="E27" s="364">
        <f>E26/'P&amp;L Input'!$C$11</f>
        <v>0.00221026899900383</v>
      </c>
      <c r="F27" s="364">
        <f>F26/'P&amp;L Input'!$C$11</f>
        <v>0.00312234817056481</v>
      </c>
      <c r="G27" s="364">
        <f>G26/'P&amp;L Input'!$C$11</f>
        <v>0.00387569296137435</v>
      </c>
      <c r="H27" s="364">
        <f>H26/'P&amp;L Input'!$C$11</f>
        <v>0.00515586429154272</v>
      </c>
      <c r="I27" s="363">
        <f>AVERAGE(D27:H27)</f>
        <v>0.00351635264430028</v>
      </c>
      <c r="J27" s="363">
        <f t="shared" ref="J27:R27" si="6">I27</f>
        <v>0.00351635264430028</v>
      </c>
      <c r="K27" s="363">
        <f t="shared" si="6"/>
        <v>0.00351635264430028</v>
      </c>
      <c r="L27" s="363">
        <f t="shared" si="6"/>
        <v>0.00351635264430028</v>
      </c>
      <c r="M27" s="363">
        <f t="shared" si="6"/>
        <v>0.00351635264430028</v>
      </c>
      <c r="N27" s="363">
        <f t="shared" si="6"/>
        <v>0.00351635264430028</v>
      </c>
      <c r="O27" s="363">
        <f t="shared" si="6"/>
        <v>0.00351635264430028</v>
      </c>
      <c r="P27" s="363">
        <f t="shared" si="6"/>
        <v>0.00351635264430028</v>
      </c>
      <c r="Q27" s="363">
        <f t="shared" si="6"/>
        <v>0.00351635264430028</v>
      </c>
      <c r="R27" s="363">
        <f t="shared" si="6"/>
        <v>0.00351635264430028</v>
      </c>
    </row>
    <row r="28" ht="14.25" customHeight="1" spans="2:18">
      <c r="B28" s="8"/>
      <c r="C28" s="346" t="s">
        <v>314</v>
      </c>
      <c r="D28" s="65">
        <f>'BS Input'!C34</f>
        <v>214697</v>
      </c>
      <c r="E28" s="65">
        <f>'BS Input'!D34</f>
        <v>220865</v>
      </c>
      <c r="F28" s="65">
        <f>'BS Input'!E34</f>
        <v>249544</v>
      </c>
      <c r="G28" s="65">
        <f>'BS Input'!F34</f>
        <v>267662</v>
      </c>
      <c r="H28" s="65">
        <f>'BS Input'!G34</f>
        <v>244264</v>
      </c>
      <c r="I28" s="12">
        <f>'Revenue Buildup'!H$14*I29</f>
        <v>396359.284064868</v>
      </c>
      <c r="J28" s="12">
        <f>'Revenue Buildup'!I$14*J29</f>
        <v>446248.587317306</v>
      </c>
      <c r="K28" s="12">
        <f>'Revenue Buildup'!J$14*K29</f>
        <v>497794.651804312</v>
      </c>
      <c r="L28" s="12">
        <f>'Revenue Buildup'!K$14*L29</f>
        <v>550143.561157066</v>
      </c>
      <c r="M28" s="12">
        <f>'Revenue Buildup'!L$14*M29</f>
        <v>602314.003310311</v>
      </c>
      <c r="N28" s="12">
        <f>'Revenue Buildup'!M$14*N29</f>
        <v>653223.425447532</v>
      </c>
      <c r="O28" s="12">
        <f>'Revenue Buildup'!N$14*O29</f>
        <v>701722.65719081</v>
      </c>
      <c r="P28" s="12">
        <f>'Revenue Buildup'!O$14*P29</f>
        <v>746637.746936635</v>
      </c>
      <c r="Q28" s="12">
        <f>'Revenue Buildup'!P$14*Q29</f>
        <v>786817.054680436</v>
      </c>
      <c r="R28" s="12">
        <f>'Revenue Buildup'!Q$14*R29</f>
        <v>821181.034192028</v>
      </c>
    </row>
    <row r="29" ht="14.25" customHeight="1" spans="2:18">
      <c r="B29" s="8"/>
      <c r="C29" s="346"/>
      <c r="D29" s="365">
        <f>D28/'P&amp;L Input'!C$11</f>
        <v>0.184215109968605</v>
      </c>
      <c r="E29" s="365">
        <f>E28/'P&amp;L Input'!D$11</f>
        <v>0.158730329843444</v>
      </c>
      <c r="F29" s="365">
        <f>F28/'P&amp;L Input'!E$11</f>
        <v>0.166382188843491</v>
      </c>
      <c r="G29" s="365">
        <f>G28/'P&amp;L Input'!F$11</f>
        <v>0.154731156191397</v>
      </c>
      <c r="H29" s="365">
        <f>H28/'P&amp;L Input'!G$11</f>
        <v>0.115779854085456</v>
      </c>
      <c r="I29" s="348">
        <f>AVERAGE(D29:H29)</f>
        <v>0.155967727786478</v>
      </c>
      <c r="J29" s="348">
        <f t="shared" ref="J29:R29" si="7">I29</f>
        <v>0.155967727786478</v>
      </c>
      <c r="K29" s="348">
        <f t="shared" si="7"/>
        <v>0.155967727786478</v>
      </c>
      <c r="L29" s="348">
        <f t="shared" si="7"/>
        <v>0.155967727786478</v>
      </c>
      <c r="M29" s="348">
        <f t="shared" si="7"/>
        <v>0.155967727786478</v>
      </c>
      <c r="N29" s="348">
        <f t="shared" si="7"/>
        <v>0.155967727786478</v>
      </c>
      <c r="O29" s="348">
        <f t="shared" si="7"/>
        <v>0.155967727786478</v>
      </c>
      <c r="P29" s="348">
        <f t="shared" si="7"/>
        <v>0.155967727786478</v>
      </c>
      <c r="Q29" s="348">
        <f t="shared" si="7"/>
        <v>0.155967727786478</v>
      </c>
      <c r="R29" s="348">
        <f t="shared" si="7"/>
        <v>0.155967727786478</v>
      </c>
    </row>
    <row r="30" ht="14.25" customHeight="1" spans="2:18">
      <c r="B30" s="8"/>
      <c r="C30" s="346" t="s">
        <v>318</v>
      </c>
      <c r="D30" s="65">
        <f>'BS Input'!C35</f>
        <v>117152</v>
      </c>
      <c r="E30" s="65">
        <f>'BS Input'!D35</f>
        <v>129243</v>
      </c>
      <c r="F30" s="65">
        <f>'BS Input'!E35</f>
        <v>115039</v>
      </c>
      <c r="G30" s="65">
        <f>'BS Input'!F35</f>
        <v>144608</v>
      </c>
      <c r="H30" s="65">
        <f>'BS Input'!G35</f>
        <v>125718</v>
      </c>
      <c r="I30" s="12">
        <f>'Revenue Buildup'!H$14*I31</f>
        <v>210057.946315046</v>
      </c>
      <c r="J30" s="12">
        <f>'Revenue Buildup'!I$14*J31</f>
        <v>236497.706920175</v>
      </c>
      <c r="K30" s="12">
        <f>'Revenue Buildup'!J$14*K31</f>
        <v>263815.498837953</v>
      </c>
      <c r="L30" s="12">
        <f>'Revenue Buildup'!K$14*L31</f>
        <v>291558.773267403</v>
      </c>
      <c r="M30" s="12">
        <f>'Revenue Buildup'!L$14*M31</f>
        <v>319207.465697842</v>
      </c>
      <c r="N30" s="12">
        <f>'Revenue Buildup'!M$14*N31</f>
        <v>346187.857206674</v>
      </c>
      <c r="O30" s="12">
        <f>'Revenue Buildup'!N$14*O31</f>
        <v>371890.923660349</v>
      </c>
      <c r="P30" s="12">
        <f>'Revenue Buildup'!O$14*P31</f>
        <v>395694.507655671</v>
      </c>
      <c r="Q30" s="12">
        <f>'Revenue Buildup'!P$14*Q31</f>
        <v>416988.27623469</v>
      </c>
      <c r="R30" s="12">
        <f>'Revenue Buildup'!Q$14*R31</f>
        <v>435200.103870942</v>
      </c>
    </row>
    <row r="31" ht="14.25" customHeight="1" spans="2:18">
      <c r="B31" s="8"/>
      <c r="C31" s="346"/>
      <c r="D31" s="365">
        <f>D30/'P&amp;L Input'!C$11</f>
        <v>0.100519190128609</v>
      </c>
      <c r="E31" s="365">
        <f>E30/'P&amp;L Input'!D$11</f>
        <v>0.0928838159959984</v>
      </c>
      <c r="F31" s="365">
        <f>F30/'P&amp;L Input'!E$11</f>
        <v>0.0767016663288493</v>
      </c>
      <c r="G31" s="365">
        <f>G30/'P&amp;L Input'!F$11</f>
        <v>0.0835955908366727</v>
      </c>
      <c r="H31" s="365">
        <f>H30/'P&amp;L Input'!G$11</f>
        <v>0.0595896722231491</v>
      </c>
      <c r="I31" s="348">
        <f>AVERAGE(D31:H31)</f>
        <v>0.0826579871026557</v>
      </c>
      <c r="J31" s="348">
        <f t="shared" ref="J31:R31" si="8">I31</f>
        <v>0.0826579871026557</v>
      </c>
      <c r="K31" s="348">
        <f t="shared" si="8"/>
        <v>0.0826579871026557</v>
      </c>
      <c r="L31" s="348">
        <f t="shared" si="8"/>
        <v>0.0826579871026557</v>
      </c>
      <c r="M31" s="348">
        <f t="shared" si="8"/>
        <v>0.0826579871026557</v>
      </c>
      <c r="N31" s="348">
        <f t="shared" si="8"/>
        <v>0.0826579871026557</v>
      </c>
      <c r="O31" s="348">
        <f t="shared" si="8"/>
        <v>0.0826579871026557</v>
      </c>
      <c r="P31" s="348">
        <f t="shared" si="8"/>
        <v>0.0826579871026557</v>
      </c>
      <c r="Q31" s="348">
        <f t="shared" si="8"/>
        <v>0.0826579871026557</v>
      </c>
      <c r="R31" s="348">
        <f t="shared" si="8"/>
        <v>0.0826579871026557</v>
      </c>
    </row>
    <row r="32" ht="14.25" customHeight="1" spans="2:18">
      <c r="B32" s="8"/>
      <c r="C32" s="346"/>
      <c r="D32" s="8"/>
      <c r="E32" s="8"/>
      <c r="F32" s="8"/>
      <c r="G32" s="8"/>
      <c r="H32" s="8"/>
      <c r="I32" s="9"/>
      <c r="J32" s="9"/>
      <c r="K32" s="9"/>
      <c r="L32" s="9"/>
      <c r="M32" s="9"/>
      <c r="N32" s="9"/>
      <c r="O32" s="9"/>
      <c r="P32" s="9"/>
      <c r="Q32" s="9"/>
      <c r="R32" s="9"/>
    </row>
    <row r="33" ht="14.25" customHeight="1" spans="2:18">
      <c r="B33" s="357" t="s">
        <v>319</v>
      </c>
      <c r="C33" s="357"/>
      <c r="D33" s="8"/>
      <c r="E33" s="8"/>
      <c r="F33" s="8"/>
      <c r="G33" s="8"/>
      <c r="H33" s="8"/>
      <c r="I33" s="9"/>
      <c r="J33" s="9"/>
      <c r="K33" s="9"/>
      <c r="L33" s="9"/>
      <c r="M33" s="9"/>
      <c r="N33" s="9"/>
      <c r="O33" s="9"/>
      <c r="P33" s="9"/>
      <c r="Q33" s="9"/>
      <c r="R33" s="9"/>
    </row>
    <row r="34" ht="14.25" customHeight="1" spans="2:18">
      <c r="B34" s="8"/>
      <c r="C34" s="346"/>
      <c r="D34" s="8"/>
      <c r="E34" s="8"/>
      <c r="F34" s="8"/>
      <c r="G34" s="8"/>
      <c r="H34" s="8"/>
      <c r="I34" s="9"/>
      <c r="J34" s="9"/>
      <c r="K34" s="9"/>
      <c r="L34" s="9"/>
      <c r="M34" s="9"/>
      <c r="N34" s="9"/>
      <c r="O34" s="9"/>
      <c r="P34" s="9"/>
      <c r="Q34" s="9"/>
      <c r="R34" s="9"/>
    </row>
    <row r="35" ht="14.25" customHeight="1" spans="2:18">
      <c r="B35" s="366" t="s">
        <v>153</v>
      </c>
      <c r="C35" s="366"/>
      <c r="D35" s="55"/>
      <c r="E35" s="55"/>
      <c r="F35" s="55"/>
      <c r="G35" s="55"/>
      <c r="H35" s="55"/>
      <c r="I35" s="9"/>
      <c r="J35" s="9"/>
      <c r="K35" s="9"/>
      <c r="L35" s="9"/>
      <c r="M35" s="9"/>
      <c r="N35" s="9"/>
      <c r="O35" s="9"/>
      <c r="P35" s="9"/>
      <c r="Q35" s="9"/>
      <c r="R35" s="9"/>
    </row>
    <row r="36" ht="14.25" customHeight="1" spans="2:18">
      <c r="B36" s="8"/>
      <c r="C36" s="346" t="s">
        <v>320</v>
      </c>
      <c r="D36" s="65">
        <f>'BS Input'!C48</f>
        <v>1135350</v>
      </c>
      <c r="E36" s="65">
        <f>'BS Input'!D48</f>
        <v>1515686</v>
      </c>
      <c r="F36" s="65">
        <f>'BS Input'!E48</f>
        <v>1309626</v>
      </c>
      <c r="G36" s="65">
        <f>'BS Input'!F48</f>
        <v>1048638</v>
      </c>
      <c r="H36" s="65">
        <f>'BS Input'!G48</f>
        <v>1000849</v>
      </c>
      <c r="I36" s="12">
        <f>'Revenue Buildup'!H$14*I37</f>
        <v>1205580.96671233</v>
      </c>
      <c r="J36" s="12">
        <f>'Revenue Buildup'!I$14*J37</f>
        <v>1357326.10518078</v>
      </c>
      <c r="K36" s="12">
        <f>'Revenue Buildup'!J$14*K37</f>
        <v>1514110.50951503</v>
      </c>
      <c r="L36" s="12">
        <f>'Revenue Buildup'!K$14*L37</f>
        <v>1673336.87630174</v>
      </c>
      <c r="M36" s="12">
        <f>'Revenue Buildup'!L$14*M37</f>
        <v>1832020.4106948</v>
      </c>
      <c r="N36" s="12">
        <f>'Revenue Buildup'!M$14*N37</f>
        <v>1986868.38025797</v>
      </c>
      <c r="O36" s="12">
        <f>'Revenue Buildup'!N$14*O37</f>
        <v>2134385.42613168</v>
      </c>
      <c r="P36" s="12">
        <f>'Revenue Buildup'!O$14*P37</f>
        <v>2271000.81396975</v>
      </c>
      <c r="Q36" s="12">
        <f>'Revenue Buildup'!P$14*Q37</f>
        <v>2393211.67320543</v>
      </c>
      <c r="R36" s="12">
        <f>'Revenue Buildup'!Q$14*R37</f>
        <v>2497734.41634593</v>
      </c>
    </row>
    <row r="37" ht="14.25" customHeight="1" spans="2:18">
      <c r="B37" s="8"/>
      <c r="C37" s="367"/>
      <c r="D37" s="365">
        <f>D36/'P&amp;L Input'!C$11</f>
        <v>0.974157184789986</v>
      </c>
      <c r="E37" s="365">
        <f>E36/'P&amp;L Input'!D$11</f>
        <v>1.08928684363339</v>
      </c>
      <c r="F37" s="365">
        <f>F36/'P&amp;L Input'!E$11</f>
        <v>0.873186453877255</v>
      </c>
      <c r="G37" s="365">
        <f>G36/'P&amp;L Input'!F$11</f>
        <v>0.606200992917313</v>
      </c>
      <c r="H37" s="365">
        <f>H36/'P&amp;L Input'!G$11</f>
        <v>0.474397173474495</v>
      </c>
      <c r="I37" s="348">
        <f>MIN(D37:H37)</f>
        <v>0.474397173474495</v>
      </c>
      <c r="J37" s="348">
        <f t="shared" ref="J37:R37" si="9">I37</f>
        <v>0.474397173474495</v>
      </c>
      <c r="K37" s="348">
        <f t="shared" si="9"/>
        <v>0.474397173474495</v>
      </c>
      <c r="L37" s="348">
        <f t="shared" si="9"/>
        <v>0.474397173474495</v>
      </c>
      <c r="M37" s="348">
        <f t="shared" si="9"/>
        <v>0.474397173474495</v>
      </c>
      <c r="N37" s="348">
        <f t="shared" si="9"/>
        <v>0.474397173474495</v>
      </c>
      <c r="O37" s="348">
        <f t="shared" si="9"/>
        <v>0.474397173474495</v>
      </c>
      <c r="P37" s="348">
        <f t="shared" si="9"/>
        <v>0.474397173474495</v>
      </c>
      <c r="Q37" s="348">
        <f t="shared" si="9"/>
        <v>0.474397173474495</v>
      </c>
      <c r="R37" s="348">
        <f t="shared" si="9"/>
        <v>0.474397173474495</v>
      </c>
    </row>
    <row r="38" ht="14.25" customHeight="1" spans="2:18">
      <c r="B38" s="8"/>
      <c r="C38" s="368" t="s">
        <v>321</v>
      </c>
      <c r="D38" s="369">
        <f>'BS Input'!C49</f>
        <v>290562</v>
      </c>
      <c r="E38" s="369">
        <f>'BS Input'!D49</f>
        <v>508295</v>
      </c>
      <c r="F38" s="369">
        <f>'BS Input'!E49</f>
        <v>539271</v>
      </c>
      <c r="G38" s="369">
        <f>'BS Input'!F49</f>
        <v>556701</v>
      </c>
      <c r="H38" s="369">
        <f>'BS Input'!G49</f>
        <v>644996</v>
      </c>
      <c r="I38" s="12">
        <f>'Revenue Buildup'!H$14*I39</f>
        <v>814081.690055099</v>
      </c>
      <c r="J38" s="12">
        <f>'Revenue Buildup'!I$14*J39</f>
        <v>916549.249010446</v>
      </c>
      <c r="K38" s="12">
        <f>'Revenue Buildup'!J$14*K39</f>
        <v>1022419.62717574</v>
      </c>
      <c r="L38" s="12">
        <f>'Revenue Buildup'!K$14*L39</f>
        <v>1129938.96710737</v>
      </c>
      <c r="M38" s="12">
        <f>'Revenue Buildup'!L$14*M39</f>
        <v>1237091.75354768</v>
      </c>
      <c r="N38" s="12">
        <f>'Revenue Buildup'!M$14*N39</f>
        <v>1341654.53302433</v>
      </c>
      <c r="O38" s="12">
        <f>'Revenue Buildup'!N$14*O39</f>
        <v>1441267.02636378</v>
      </c>
      <c r="P38" s="12">
        <f>'Revenue Buildup'!O$14*P39</f>
        <v>1533518.05627349</v>
      </c>
      <c r="Q38" s="12">
        <f>'Revenue Buildup'!P$14*Q39</f>
        <v>1616042.27121773</v>
      </c>
      <c r="R38" s="12">
        <f>'Revenue Buildup'!Q$14*R39</f>
        <v>1686622.39294698</v>
      </c>
    </row>
    <row r="39" ht="14.25" customHeight="1" spans="2:18">
      <c r="B39" s="8"/>
      <c r="C39" s="367"/>
      <c r="D39" s="365">
        <f>D38/'P&amp;L Input'!C$11</f>
        <v>0.249309076431891</v>
      </c>
      <c r="E39" s="365">
        <f>E38/'P&amp;L Input'!D$11</f>
        <v>0.36529931409582</v>
      </c>
      <c r="F39" s="365">
        <f>F38/'P&amp;L Input'!E$11</f>
        <v>0.35955618792605</v>
      </c>
      <c r="G39" s="365">
        <f>G38/'P&amp;L Input'!F$11</f>
        <v>0.32182001697255</v>
      </c>
      <c r="H39" s="365">
        <f>H38/'P&amp;L Input'!G$11</f>
        <v>0.305724719015911</v>
      </c>
      <c r="I39" s="348">
        <f>AVERAGE(D39:H39)</f>
        <v>0.320341862888444</v>
      </c>
      <c r="J39" s="348">
        <f t="shared" ref="J39:R39" si="10">I39</f>
        <v>0.320341862888444</v>
      </c>
      <c r="K39" s="348">
        <f t="shared" si="10"/>
        <v>0.320341862888444</v>
      </c>
      <c r="L39" s="348">
        <f t="shared" si="10"/>
        <v>0.320341862888444</v>
      </c>
      <c r="M39" s="348">
        <f t="shared" si="10"/>
        <v>0.320341862888444</v>
      </c>
      <c r="N39" s="348">
        <f t="shared" si="10"/>
        <v>0.320341862888444</v>
      </c>
      <c r="O39" s="348">
        <f t="shared" si="10"/>
        <v>0.320341862888444</v>
      </c>
      <c r="P39" s="348">
        <f t="shared" si="10"/>
        <v>0.320341862888444</v>
      </c>
      <c r="Q39" s="348">
        <f t="shared" si="10"/>
        <v>0.320341862888444</v>
      </c>
      <c r="R39" s="348">
        <f t="shared" si="10"/>
        <v>0.320341862888444</v>
      </c>
    </row>
    <row r="40" ht="14.25" customHeight="1" spans="2:18">
      <c r="B40" s="8"/>
      <c r="C40" s="346" t="s">
        <v>322</v>
      </c>
      <c r="D40" s="65">
        <f>'BS Input'!C51</f>
        <v>90116</v>
      </c>
      <c r="E40" s="65">
        <f>'BS Input'!D51</f>
        <v>97311</v>
      </c>
      <c r="F40" s="65">
        <f>'BS Input'!E51</f>
        <v>85036</v>
      </c>
      <c r="G40" s="65">
        <f>'BS Input'!F51</f>
        <v>38642</v>
      </c>
      <c r="H40" s="65">
        <f>'BS Input'!G51</f>
        <v>26320</v>
      </c>
      <c r="I40" s="12">
        <f>'Revenue Buildup'!H$14*I41</f>
        <v>121355.718199421</v>
      </c>
      <c r="J40" s="12">
        <f>'Revenue Buildup'!I$14*J41</f>
        <v>136630.627782912</v>
      </c>
      <c r="K40" s="12">
        <f>'Revenue Buildup'!J$14*K41</f>
        <v>152412.797969572</v>
      </c>
      <c r="L40" s="12">
        <f>'Revenue Buildup'!K$14*L41</f>
        <v>168440.78002239</v>
      </c>
      <c r="M40" s="12">
        <f>'Revenue Buildup'!L$14*M41</f>
        <v>184414.119693809</v>
      </c>
      <c r="N40" s="12">
        <f>'Revenue Buildup'!M$14*N41</f>
        <v>200001.365243402</v>
      </c>
      <c r="O40" s="12">
        <f>'Revenue Buildup'!N$14*O41</f>
        <v>214850.668229231</v>
      </c>
      <c r="P40" s="12">
        <f>'Revenue Buildup'!O$14*P41</f>
        <v>228602.592791705</v>
      </c>
      <c r="Q40" s="12">
        <f>'Revenue Buildup'!P$14*Q41</f>
        <v>240904.534348362</v>
      </c>
      <c r="R40" s="12">
        <f>'Revenue Buildup'!Q$14*R41</f>
        <v>251425.961703491</v>
      </c>
    </row>
    <row r="41" ht="14.25" customHeight="1" spans="2:18">
      <c r="B41" s="8"/>
      <c r="C41" s="346"/>
      <c r="D41" s="365">
        <f>D40/'P&amp;L Input'!C$11</f>
        <v>0.0773216619232258</v>
      </c>
      <c r="E41" s="365">
        <f>E40/'P&amp;L Input'!D$11</f>
        <v>0.069935060455008</v>
      </c>
      <c r="F41" s="365">
        <f>F40/'P&amp;L Input'!E$11</f>
        <v>0.0566973191521138</v>
      </c>
      <c r="G41" s="365">
        <f>G40/'P&amp;L Input'!F$11</f>
        <v>0.0223383272094954</v>
      </c>
      <c r="H41" s="365">
        <f>H40/'P&amp;L Input'!G$11</f>
        <v>0.0124755418708004</v>
      </c>
      <c r="I41" s="348">
        <f>AVERAGE(D41:H41)</f>
        <v>0.0477535821221287</v>
      </c>
      <c r="J41" s="348">
        <f t="shared" ref="J41:R41" si="11">I41</f>
        <v>0.0477535821221287</v>
      </c>
      <c r="K41" s="348">
        <f t="shared" si="11"/>
        <v>0.0477535821221287</v>
      </c>
      <c r="L41" s="348">
        <f t="shared" si="11"/>
        <v>0.0477535821221287</v>
      </c>
      <c r="M41" s="348">
        <f t="shared" si="11"/>
        <v>0.0477535821221287</v>
      </c>
      <c r="N41" s="348">
        <f t="shared" si="11"/>
        <v>0.0477535821221287</v>
      </c>
      <c r="O41" s="348">
        <f t="shared" si="11"/>
        <v>0.0477535821221287</v>
      </c>
      <c r="P41" s="348">
        <f t="shared" si="11"/>
        <v>0.0477535821221287</v>
      </c>
      <c r="Q41" s="348">
        <f t="shared" si="11"/>
        <v>0.0477535821221287</v>
      </c>
      <c r="R41" s="348">
        <f t="shared" si="11"/>
        <v>0.0477535821221287</v>
      </c>
    </row>
    <row r="42" ht="14.25" customHeight="1" spans="2:18">
      <c r="B42" s="8"/>
      <c r="C42" s="346" t="s">
        <v>160</v>
      </c>
      <c r="D42" s="65">
        <f>'BS Input'!C53</f>
        <v>4639</v>
      </c>
      <c r="E42" s="65">
        <f>'BS Input'!D53</f>
        <v>4744</v>
      </c>
      <c r="F42" s="65">
        <f>'BS Input'!E53</f>
        <v>5443</v>
      </c>
      <c r="G42" s="65">
        <f>'BS Input'!F53</f>
        <v>30396</v>
      </c>
      <c r="H42" s="65">
        <f>'BS Input'!G53</f>
        <v>35189</v>
      </c>
      <c r="I42" s="12">
        <f>'Revenue Buildup'!H$14*I43</f>
        <v>16409.5826660889</v>
      </c>
      <c r="J42" s="12">
        <f>'Revenue Buildup'!I$14*J43</f>
        <v>18475.0386268491</v>
      </c>
      <c r="K42" s="12">
        <f>'Revenue Buildup'!J$14*K43</f>
        <v>20609.0857914228</v>
      </c>
      <c r="L42" s="12">
        <f>'Revenue Buildup'!K$14*L43</f>
        <v>22776.3713579267</v>
      </c>
      <c r="M42" s="12">
        <f>'Revenue Buildup'!L$14*M43</f>
        <v>24936.2682435513</v>
      </c>
      <c r="N42" s="12">
        <f>'Revenue Buildup'!M$14*N43</f>
        <v>27043.9579196352</v>
      </c>
      <c r="O42" s="12">
        <f>'Revenue Buildup'!N$14*O43</f>
        <v>29051.8638386571</v>
      </c>
      <c r="P42" s="12">
        <f>'Revenue Buildup'!O$14*P43</f>
        <v>30911.38349108</v>
      </c>
      <c r="Q42" s="12">
        <f>'Revenue Buildup'!P$14*Q43</f>
        <v>32574.8380849182</v>
      </c>
      <c r="R42" s="12">
        <f>'Revenue Buildup'!Q$14*R43</f>
        <v>33997.5335665232</v>
      </c>
    </row>
    <row r="43" ht="14.25" customHeight="1" spans="2:18">
      <c r="B43" s="8"/>
      <c r="C43" s="346"/>
      <c r="D43" s="364">
        <f>D42/'P&amp;L Input'!C$11</f>
        <v>0.00398037185030232</v>
      </c>
      <c r="E43" s="364">
        <f>E42/'P&amp;L Input'!D$11</f>
        <v>0.0034093979796586</v>
      </c>
      <c r="F43" s="364">
        <f>F42/'P&amp;L Input'!E$11</f>
        <v>0.00362909248018434</v>
      </c>
      <c r="G43" s="364">
        <f>G42/'P&amp;L Input'!F$11</f>
        <v>0.017571445418452</v>
      </c>
      <c r="H43" s="364">
        <f>H42/'P&amp;L Input'!G$11</f>
        <v>0.0166794013256685</v>
      </c>
      <c r="I43" s="363">
        <f>AVEDEV(D43:H43)</f>
        <v>0.00645718524896568</v>
      </c>
      <c r="J43" s="363">
        <f t="shared" ref="J43:R43" si="12">I43</f>
        <v>0.00645718524896568</v>
      </c>
      <c r="K43" s="363">
        <f t="shared" si="12"/>
        <v>0.00645718524896568</v>
      </c>
      <c r="L43" s="363">
        <f t="shared" si="12"/>
        <v>0.00645718524896568</v>
      </c>
      <c r="M43" s="363">
        <f t="shared" si="12"/>
        <v>0.00645718524896568</v>
      </c>
      <c r="N43" s="363">
        <f t="shared" si="12"/>
        <v>0.00645718524896568</v>
      </c>
      <c r="O43" s="363">
        <f t="shared" si="12"/>
        <v>0.00645718524896568</v>
      </c>
      <c r="P43" s="363">
        <f t="shared" si="12"/>
        <v>0.00645718524896568</v>
      </c>
      <c r="Q43" s="363">
        <f t="shared" si="12"/>
        <v>0.00645718524896568</v>
      </c>
      <c r="R43" s="363">
        <f t="shared" si="12"/>
        <v>0.00645718524896568</v>
      </c>
    </row>
    <row r="44" ht="14.25" customHeight="1" spans="2:18">
      <c r="B44" s="8"/>
      <c r="C44" s="346" t="s">
        <v>323</v>
      </c>
      <c r="D44" s="65">
        <f>'BS Input'!C54</f>
        <v>24488</v>
      </c>
      <c r="E44" s="65">
        <f>'BS Input'!D54</f>
        <v>20762</v>
      </c>
      <c r="F44" s="65">
        <f>'BS Input'!E54</f>
        <v>25118</v>
      </c>
      <c r="G44" s="65">
        <f>'BS Input'!F54</f>
        <v>93549</v>
      </c>
      <c r="H44" s="65">
        <f>'BS Input'!G54</f>
        <v>67789</v>
      </c>
      <c r="I44" s="12">
        <f>'Revenue Buildup'!H$14*I45</f>
        <v>70592.2444790225</v>
      </c>
      <c r="J44" s="12">
        <f>'Revenue Buildup'!I$14*J45</f>
        <v>79477.6119566462</v>
      </c>
      <c r="K44" s="12">
        <f>'Revenue Buildup'!J$14*K45</f>
        <v>88658.0513521384</v>
      </c>
      <c r="L44" s="12">
        <f>'Revenue Buildup'!K$14*L45</f>
        <v>97981.4787469537</v>
      </c>
      <c r="M44" s="12">
        <f>'Revenue Buildup'!L$14*M45</f>
        <v>107273.120838168</v>
      </c>
      <c r="N44" s="12">
        <f>'Revenue Buildup'!M$14*N45</f>
        <v>116340.1731775</v>
      </c>
      <c r="O44" s="12">
        <f>'Revenue Buildup'!N$14*O45</f>
        <v>124977.96661873</v>
      </c>
      <c r="P44" s="12">
        <f>'Revenue Buildup'!O$14*P45</f>
        <v>132977.418438347</v>
      </c>
      <c r="Q44" s="12">
        <f>'Revenue Buildup'!P$14*Q45</f>
        <v>140133.419645534</v>
      </c>
      <c r="R44" s="12">
        <f>'Revenue Buildup'!Q$14*R45</f>
        <v>146253.701270015</v>
      </c>
    </row>
    <row r="45" ht="14.25" customHeight="1" spans="2:18">
      <c r="B45" s="8"/>
      <c r="C45" s="346"/>
      <c r="D45" s="370">
        <f>D44/'P&amp;L Input'!C$11</f>
        <v>0.0210112838694122</v>
      </c>
      <c r="E45" s="370">
        <f>E44/'P&amp;L Input'!D$11</f>
        <v>0.0149211468915834</v>
      </c>
      <c r="F45" s="370">
        <f>F44/'P&amp;L Input'!E$11</f>
        <v>0.016747298349673</v>
      </c>
      <c r="G45" s="370">
        <f>G44/'P&amp;L Input'!F$11</f>
        <v>0.0540791929020517</v>
      </c>
      <c r="H45" s="370">
        <f>H44/'P&amp;L Input'!G$11</f>
        <v>0.03213163023859</v>
      </c>
      <c r="I45" s="348">
        <f>AVERAGE(D45:H45)</f>
        <v>0.0277781104502621</v>
      </c>
      <c r="J45" s="348">
        <f t="shared" ref="J45:R45" si="13">I45</f>
        <v>0.0277781104502621</v>
      </c>
      <c r="K45" s="348">
        <f t="shared" si="13"/>
        <v>0.0277781104502621</v>
      </c>
      <c r="L45" s="348">
        <f t="shared" si="13"/>
        <v>0.0277781104502621</v>
      </c>
      <c r="M45" s="348">
        <f t="shared" si="13"/>
        <v>0.0277781104502621</v>
      </c>
      <c r="N45" s="348">
        <f t="shared" si="13"/>
        <v>0.0277781104502621</v>
      </c>
      <c r="O45" s="348">
        <f t="shared" si="13"/>
        <v>0.0277781104502621</v>
      </c>
      <c r="P45" s="348">
        <f t="shared" si="13"/>
        <v>0.0277781104502621</v>
      </c>
      <c r="Q45" s="348">
        <f t="shared" si="13"/>
        <v>0.0277781104502621</v>
      </c>
      <c r="R45" s="348">
        <f t="shared" si="13"/>
        <v>0.0277781104502621</v>
      </c>
    </row>
    <row r="46" ht="14.25" customHeight="1" spans="2:18">
      <c r="B46" s="8"/>
      <c r="C46" s="8" t="str">
        <f>'BS Input'!B55</f>
        <v>Other non-current liabilities</v>
      </c>
      <c r="D46" s="371">
        <f>'BS Input'!C55</f>
        <v>1363</v>
      </c>
      <c r="E46" s="371">
        <f>'BS Input'!D55</f>
        <v>1029</v>
      </c>
      <c r="F46" s="371">
        <f>'BS Input'!E55</f>
        <v>1470</v>
      </c>
      <c r="G46" s="371">
        <f>'BS Input'!F55</f>
        <v>1414</v>
      </c>
      <c r="H46" s="371">
        <f>'BS Input'!G55</f>
        <v>1497</v>
      </c>
      <c r="I46" s="12">
        <f>'Revenue Buildup'!H$14*I47</f>
        <v>2244.51836714951</v>
      </c>
      <c r="J46" s="12">
        <f>'Revenue Buildup'!I$14*J47</f>
        <v>2527.03340332074</v>
      </c>
      <c r="K46" s="12">
        <f>'Revenue Buildup'!J$14*K47</f>
        <v>2818.93040976609</v>
      </c>
      <c r="L46" s="12">
        <f>'Revenue Buildup'!K$14*L47</f>
        <v>3115.37379652746</v>
      </c>
      <c r="M46" s="12">
        <f>'Revenue Buildup'!L$14*M47</f>
        <v>3410.80655247145</v>
      </c>
      <c r="N46" s="12">
        <f>'Revenue Buildup'!M$14*N47</f>
        <v>3699.09835650362</v>
      </c>
      <c r="O46" s="12">
        <f>'Revenue Buildup'!N$14*O47</f>
        <v>3973.74164307947</v>
      </c>
      <c r="P46" s="12">
        <f>'Revenue Buildup'!O$14*P47</f>
        <v>4228.08851459157</v>
      </c>
      <c r="Q46" s="12">
        <f>'Revenue Buildup'!P$14*Q47</f>
        <v>4455.61742040005</v>
      </c>
      <c r="R46" s="12">
        <f>'Revenue Buildup'!Q$14*R47</f>
        <v>4650.21506522145</v>
      </c>
    </row>
    <row r="47" ht="14.25" customHeight="1" spans="2:18">
      <c r="B47" s="8"/>
      <c r="C47" s="346"/>
      <c r="D47" s="364">
        <f>D46/'P&amp;L Input'!C$11</f>
        <v>0.00116948627548223</v>
      </c>
      <c r="E47" s="364">
        <f>E46/'P&amp;L Input'!D$11</f>
        <v>0.000739517394828984</v>
      </c>
      <c r="F47" s="364">
        <f>F46/'P&amp;L Input'!E$11</f>
        <v>0.000980115000160019</v>
      </c>
      <c r="G47" s="364">
        <f>G46/'P&amp;L Input'!F$11</f>
        <v>0.00081741096926211</v>
      </c>
      <c r="H47" s="364">
        <f>H46/'P&amp;L Input'!G$11</f>
        <v>0.00070957014363937</v>
      </c>
      <c r="I47" s="363">
        <f>AVERAGE(D47:H47)</f>
        <v>0.000883219956674543</v>
      </c>
      <c r="J47" s="363">
        <f t="shared" ref="J47:R47" si="14">I47</f>
        <v>0.000883219956674543</v>
      </c>
      <c r="K47" s="363">
        <f t="shared" si="14"/>
        <v>0.000883219956674543</v>
      </c>
      <c r="L47" s="363">
        <f t="shared" si="14"/>
        <v>0.000883219956674543</v>
      </c>
      <c r="M47" s="363">
        <f t="shared" si="14"/>
        <v>0.000883219956674543</v>
      </c>
      <c r="N47" s="363">
        <f t="shared" si="14"/>
        <v>0.000883219956674543</v>
      </c>
      <c r="O47" s="363">
        <f t="shared" si="14"/>
        <v>0.000883219956674543</v>
      </c>
      <c r="P47" s="363">
        <f t="shared" si="14"/>
        <v>0.000883219956674543</v>
      </c>
      <c r="Q47" s="363">
        <f t="shared" si="14"/>
        <v>0.000883219956674543</v>
      </c>
      <c r="R47" s="363">
        <f t="shared" si="14"/>
        <v>0.000883219956674543</v>
      </c>
    </row>
    <row r="48" ht="14.25" customHeight="1" spans="2:18">
      <c r="B48" s="8"/>
      <c r="C48" s="346"/>
      <c r="D48" s="365"/>
      <c r="E48" s="365"/>
      <c r="F48" s="365"/>
      <c r="G48" s="365"/>
      <c r="H48" s="365"/>
      <c r="I48" s="12"/>
      <c r="J48" s="12"/>
      <c r="K48" s="12"/>
      <c r="L48" s="12"/>
      <c r="M48" s="12"/>
      <c r="N48" s="12"/>
      <c r="O48" s="12"/>
      <c r="P48" s="12"/>
      <c r="Q48" s="12"/>
      <c r="R48" s="12"/>
    </row>
    <row r="49" ht="14.25" customHeight="1" spans="2:18">
      <c r="B49" s="366" t="s">
        <v>324</v>
      </c>
      <c r="C49" s="366"/>
      <c r="E49" s="55"/>
      <c r="F49" s="55"/>
      <c r="G49" s="55"/>
      <c r="H49" s="55"/>
      <c r="I49" s="9"/>
      <c r="J49" s="9"/>
      <c r="K49" s="9"/>
      <c r="L49" s="9"/>
      <c r="M49" s="9"/>
      <c r="N49" s="9"/>
      <c r="O49" s="9"/>
      <c r="P49" s="9"/>
      <c r="Q49" s="9"/>
      <c r="R49" s="9"/>
    </row>
    <row r="50" ht="14.25" customHeight="1" spans="2:18">
      <c r="B50" s="8"/>
      <c r="C50" s="346" t="s">
        <v>320</v>
      </c>
      <c r="D50" s="65">
        <f>'BS Input'!C59</f>
        <v>193795</v>
      </c>
      <c r="E50" s="65">
        <f>'BS Input'!D59</f>
        <v>139762</v>
      </c>
      <c r="F50" s="65">
        <f>'BS Input'!E59</f>
        <v>209539</v>
      </c>
      <c r="G50" s="65">
        <f>'BS Input'!F59</f>
        <v>434485</v>
      </c>
      <c r="H50" s="65">
        <f>'BS Input'!G59</f>
        <v>215865</v>
      </c>
      <c r="I50" s="12">
        <f>'Revenue Buildup'!H$14*I51</f>
        <v>386236.028086828</v>
      </c>
      <c r="J50" s="12">
        <f>'Revenue Buildup'!I$14*J51</f>
        <v>434851.128342906</v>
      </c>
      <c r="K50" s="12">
        <f>'Revenue Buildup'!J$14*K51</f>
        <v>485080.675149007</v>
      </c>
      <c r="L50" s="12">
        <f>'Revenue Buildup'!K$14*L51</f>
        <v>536092.56167713</v>
      </c>
      <c r="M50" s="12">
        <f>'Revenue Buildup'!L$14*M51</f>
        <v>586930.539166022</v>
      </c>
      <c r="N50" s="12">
        <f>'Revenue Buildup'!M$14*N51</f>
        <v>636539.703853224</v>
      </c>
      <c r="O50" s="12">
        <f>'Revenue Buildup'!N$14*O51</f>
        <v>683800.23586771</v>
      </c>
      <c r="P50" s="12">
        <f>'Revenue Buildup'!O$14*P51</f>
        <v>727568.167040357</v>
      </c>
      <c r="Q50" s="12">
        <f>'Revenue Buildup'!P$14*Q51</f>
        <v>766721.270949245</v>
      </c>
      <c r="R50" s="12">
        <f>'Revenue Buildup'!Q$14*R51</f>
        <v>800207.573628211</v>
      </c>
    </row>
    <row r="51" ht="14.25" customHeight="1" spans="2:18">
      <c r="B51" s="8"/>
      <c r="C51" s="346"/>
      <c r="D51" s="365">
        <f>D50/'P&amp;L Input'!C$11</f>
        <v>0.166280699014731</v>
      </c>
      <c r="E51" s="365">
        <f>E50/'P&amp;L Input'!D$11</f>
        <v>0.100443566701738</v>
      </c>
      <c r="F51" s="365">
        <f>F50/'P&amp;L Input'!E$11</f>
        <v>0.139709059196279</v>
      </c>
      <c r="G51" s="365">
        <f>G50/'P&amp;L Input'!F$11</f>
        <v>0.251168886124362</v>
      </c>
      <c r="H51" s="365">
        <f>H50/'P&amp;L Input'!G$11</f>
        <v>0.102318877125392</v>
      </c>
      <c r="I51" s="348">
        <f>AVERAGE(D51:H51)</f>
        <v>0.151984217632501</v>
      </c>
      <c r="J51" s="348">
        <f t="shared" ref="J51:R51" si="15">I51</f>
        <v>0.151984217632501</v>
      </c>
      <c r="K51" s="348">
        <f t="shared" si="15"/>
        <v>0.151984217632501</v>
      </c>
      <c r="L51" s="348">
        <f t="shared" si="15"/>
        <v>0.151984217632501</v>
      </c>
      <c r="M51" s="348">
        <f t="shared" si="15"/>
        <v>0.151984217632501</v>
      </c>
      <c r="N51" s="348">
        <f t="shared" si="15"/>
        <v>0.151984217632501</v>
      </c>
      <c r="O51" s="348">
        <f t="shared" si="15"/>
        <v>0.151984217632501</v>
      </c>
      <c r="P51" s="348">
        <f t="shared" si="15"/>
        <v>0.151984217632501</v>
      </c>
      <c r="Q51" s="348">
        <f t="shared" si="15"/>
        <v>0.151984217632501</v>
      </c>
      <c r="R51" s="348">
        <f t="shared" si="15"/>
        <v>0.151984217632501</v>
      </c>
    </row>
    <row r="52" ht="14.25" customHeight="1" spans="2:18">
      <c r="B52" s="8"/>
      <c r="C52" s="346" t="s">
        <v>321</v>
      </c>
      <c r="D52" s="369">
        <f>'BS Input'!C60</f>
        <v>77072</v>
      </c>
      <c r="E52" s="369">
        <f>'BS Input'!D60</f>
        <v>96460</v>
      </c>
      <c r="F52" s="369">
        <f>'BS Input'!E60</f>
        <v>97487</v>
      </c>
      <c r="G52" s="369">
        <f>'BS Input'!F60</f>
        <v>96597</v>
      </c>
      <c r="H52" s="369">
        <f>'BS Input'!G60</f>
        <v>92407</v>
      </c>
      <c r="I52" s="12">
        <f>'Revenue Buildup'!H$14*I53</f>
        <v>152525.022713716</v>
      </c>
      <c r="J52" s="12">
        <f>'Revenue Buildup'!I$14*J53</f>
        <v>171723.178068402</v>
      </c>
      <c r="K52" s="12">
        <f>'Revenue Buildup'!J$14*K53</f>
        <v>191558.880101299</v>
      </c>
      <c r="L52" s="12">
        <f>'Revenue Buildup'!K$14*L53</f>
        <v>211703.528931476</v>
      </c>
      <c r="M52" s="12">
        <f>'Revenue Buildup'!L$14*M53</f>
        <v>231779.5008951</v>
      </c>
      <c r="N52" s="12">
        <f>'Revenue Buildup'!M$14*N53</f>
        <v>251370.213362304</v>
      </c>
      <c r="O52" s="12">
        <f>'Revenue Buildup'!N$14*O53</f>
        <v>270033.44826216</v>
      </c>
      <c r="P52" s="12">
        <f>'Revenue Buildup'!O$14*P53</f>
        <v>287317.45133486</v>
      </c>
      <c r="Q52" s="12">
        <f>'Revenue Buildup'!P$14*Q53</f>
        <v>302779.054159941</v>
      </c>
      <c r="R52" s="12">
        <f>'Revenue Buildup'!Q$14*R53</f>
        <v>316002.831087244</v>
      </c>
    </row>
    <row r="53" ht="14.25" customHeight="1" spans="2:18">
      <c r="B53" s="8"/>
      <c r="C53" s="346"/>
      <c r="D53" s="365">
        <f>D52/'P&amp;L Input'!C$11</f>
        <v>0.0661296010447296</v>
      </c>
      <c r="E53" s="365">
        <f>E52/'P&amp;L Input'!D$11</f>
        <v>0.0693234673519959</v>
      </c>
      <c r="F53" s="365">
        <f>F52/'P&amp;L Input'!E$11</f>
        <v>0.064998959877959</v>
      </c>
      <c r="G53" s="365">
        <f>G52/'P&amp;L Input'!F$11</f>
        <v>0.055841193350645</v>
      </c>
      <c r="H53" s="365">
        <f>H52/'P&amp;L Input'!G$11</f>
        <v>0.0438004330416054</v>
      </c>
      <c r="I53" s="348">
        <f>AVERAGE(D53:H53)</f>
        <v>0.060018730933387</v>
      </c>
      <c r="J53" s="348">
        <f t="shared" ref="J53:R53" si="16">I53</f>
        <v>0.060018730933387</v>
      </c>
      <c r="K53" s="348">
        <f t="shared" si="16"/>
        <v>0.060018730933387</v>
      </c>
      <c r="L53" s="348">
        <f t="shared" si="16"/>
        <v>0.060018730933387</v>
      </c>
      <c r="M53" s="348">
        <f t="shared" si="16"/>
        <v>0.060018730933387</v>
      </c>
      <c r="N53" s="348">
        <f t="shared" si="16"/>
        <v>0.060018730933387</v>
      </c>
      <c r="O53" s="348">
        <f t="shared" si="16"/>
        <v>0.060018730933387</v>
      </c>
      <c r="P53" s="348">
        <f t="shared" si="16"/>
        <v>0.060018730933387</v>
      </c>
      <c r="Q53" s="348">
        <f t="shared" si="16"/>
        <v>0.060018730933387</v>
      </c>
      <c r="R53" s="348">
        <f t="shared" si="16"/>
        <v>0.060018730933387</v>
      </c>
    </row>
    <row r="54" ht="14.25" customHeight="1" spans="2:18">
      <c r="B54" s="8"/>
      <c r="C54" s="346" t="s">
        <v>325</v>
      </c>
      <c r="D54" s="369">
        <f>'BS Input'!C63</f>
        <v>194415</v>
      </c>
      <c r="E54" s="369">
        <f>'BS Input'!D63</f>
        <v>241951</v>
      </c>
      <c r="F54" s="369">
        <f>'BS Input'!E63</f>
        <v>253456</v>
      </c>
      <c r="G54" s="369">
        <f>'BS Input'!F63</f>
        <v>333024</v>
      </c>
      <c r="H54" s="369">
        <f>'BS Input'!G63</f>
        <v>408659</v>
      </c>
      <c r="I54" s="12">
        <f>'Revenue Buildup'!H$14*I55</f>
        <v>455351.258707798</v>
      </c>
      <c r="J54" s="12">
        <f>'Revenue Buildup'!I$14*J55</f>
        <v>512665.816346203</v>
      </c>
      <c r="K54" s="12">
        <f>'Revenue Buildup'!J$14*K55</f>
        <v>571883.718611235</v>
      </c>
      <c r="L54" s="12">
        <f>'Revenue Buildup'!K$14*L55</f>
        <v>632023.956834734</v>
      </c>
      <c r="M54" s="12">
        <f>'Revenue Buildup'!L$14*M55</f>
        <v>691959.165764859</v>
      </c>
      <c r="N54" s="12">
        <f>'Revenue Buildup'!M$14*N55</f>
        <v>750445.67127201</v>
      </c>
      <c r="O54" s="12">
        <f>'Revenue Buildup'!N$14*O55</f>
        <v>806163.266667224</v>
      </c>
      <c r="P54" s="12">
        <f>'Revenue Buildup'!O$14*P55</f>
        <v>857763.275732201</v>
      </c>
      <c r="Q54" s="12">
        <f>'Revenue Buildup'!P$14*Q55</f>
        <v>903922.654585437</v>
      </c>
      <c r="R54" s="12">
        <f>'Revenue Buildup'!Q$14*R55</f>
        <v>943401.183167731</v>
      </c>
    </row>
    <row r="55" ht="14.25" customHeight="1" spans="2:18">
      <c r="B55" s="8"/>
      <c r="C55" s="346"/>
      <c r="D55" s="365">
        <f>D54/'P&amp;L Input'!C$11</f>
        <v>0.166812673696169</v>
      </c>
      <c r="E55" s="365">
        <f>E54/'P&amp;L Input'!D$11</f>
        <v>0.173884327693166</v>
      </c>
      <c r="F55" s="365">
        <f>F54/'P&amp;L Input'!E$11</f>
        <v>0.168990494884733</v>
      </c>
      <c r="G55" s="365">
        <f>G54/'P&amp;L Input'!F$11</f>
        <v>0.192515891532917</v>
      </c>
      <c r="H55" s="365">
        <f>H54/'P&amp;L Input'!G$11</f>
        <v>0.193702221329005</v>
      </c>
      <c r="I55" s="348">
        <f>AVERAGE(D55:H55)</f>
        <v>0.179181121827198</v>
      </c>
      <c r="J55" s="348">
        <f t="shared" ref="J55:R55" si="17">I55</f>
        <v>0.179181121827198</v>
      </c>
      <c r="K55" s="348">
        <f t="shared" si="17"/>
        <v>0.179181121827198</v>
      </c>
      <c r="L55" s="348">
        <f t="shared" si="17"/>
        <v>0.179181121827198</v>
      </c>
      <c r="M55" s="348">
        <f t="shared" si="17"/>
        <v>0.179181121827198</v>
      </c>
      <c r="N55" s="348">
        <f t="shared" si="17"/>
        <v>0.179181121827198</v>
      </c>
      <c r="O55" s="348">
        <f t="shared" si="17"/>
        <v>0.179181121827198</v>
      </c>
      <c r="P55" s="348">
        <f t="shared" si="17"/>
        <v>0.179181121827198</v>
      </c>
      <c r="Q55" s="348">
        <f t="shared" si="17"/>
        <v>0.179181121827198</v>
      </c>
      <c r="R55" s="348">
        <f t="shared" si="17"/>
        <v>0.179181121827198</v>
      </c>
    </row>
    <row r="56" ht="14.25" customHeight="1" spans="2:18">
      <c r="B56" s="8"/>
      <c r="C56" s="372" t="s">
        <v>167</v>
      </c>
      <c r="D56" s="373">
        <f>'BS Input'!C67</f>
        <v>41139</v>
      </c>
      <c r="E56" s="373">
        <f>'BS Input'!D67</f>
        <v>51143</v>
      </c>
      <c r="F56" s="373">
        <f>'BS Input'!E67</f>
        <v>59089</v>
      </c>
      <c r="G56" s="373">
        <f>'BS Input'!F67</f>
        <v>77522</v>
      </c>
      <c r="H56" s="373">
        <f>'BS Input'!G67</f>
        <v>77341</v>
      </c>
      <c r="I56" s="12">
        <f>'Revenue Buildup'!H$14*I57</f>
        <v>98055.2965410714</v>
      </c>
      <c r="J56" s="12">
        <f>'Revenue Buildup'!I$14*J57</f>
        <v>110397.407906488</v>
      </c>
      <c r="K56" s="12">
        <f>'Revenue Buildup'!J$14*K57</f>
        <v>123149.385321936</v>
      </c>
      <c r="L56" s="12">
        <f>'Revenue Buildup'!K$14*L57</f>
        <v>136099.978474551</v>
      </c>
      <c r="M56" s="12">
        <f>'Revenue Buildup'!L$14*M57</f>
        <v>149006.420638722</v>
      </c>
      <c r="N56" s="12">
        <f>'Revenue Buildup'!M$14*N57</f>
        <v>161600.899146214</v>
      </c>
      <c r="O56" s="12">
        <f>'Revenue Buildup'!N$14*O57</f>
        <v>173599.120814772</v>
      </c>
      <c r="P56" s="12">
        <f>'Revenue Buildup'!O$14*P57</f>
        <v>184710.661836415</v>
      </c>
      <c r="Q56" s="12">
        <f>'Revenue Buildup'!P$14*Q57</f>
        <v>194650.618068116</v>
      </c>
      <c r="R56" s="12">
        <f>'Revenue Buildup'!Q$14*R57</f>
        <v>203151.920640832</v>
      </c>
    </row>
    <row r="57" ht="14.25" customHeight="1" spans="2:18">
      <c r="B57" s="8"/>
      <c r="C57" s="372"/>
      <c r="D57" s="365">
        <f>D56/'P&amp;L Input'!C$11</f>
        <v>0.0352982361607216</v>
      </c>
      <c r="E57" s="365">
        <f>E56/'P&amp;L Input'!D$11</f>
        <v>0.0367552362718549</v>
      </c>
      <c r="F57" s="365">
        <f>F56/'P&amp;L Input'!E$11</f>
        <v>0.0393972892819424</v>
      </c>
      <c r="G57" s="365">
        <f>G56/'P&amp;L Input'!F$11</f>
        <v>0.04481423844352</v>
      </c>
      <c r="H57" s="365">
        <f>H56/'P&amp;L Input'!G$11</f>
        <v>0.0366592281090264</v>
      </c>
      <c r="I57" s="348">
        <f>AVERAGE(D57:H57)</f>
        <v>0.0385848456534131</v>
      </c>
      <c r="J57" s="348">
        <f t="shared" ref="J57:R57" si="18">I57</f>
        <v>0.0385848456534131</v>
      </c>
      <c r="K57" s="348">
        <f t="shared" si="18"/>
        <v>0.0385848456534131</v>
      </c>
      <c r="L57" s="348">
        <f t="shared" si="18"/>
        <v>0.0385848456534131</v>
      </c>
      <c r="M57" s="348">
        <f t="shared" si="18"/>
        <v>0.0385848456534131</v>
      </c>
      <c r="N57" s="348">
        <f t="shared" si="18"/>
        <v>0.0385848456534131</v>
      </c>
      <c r="O57" s="348">
        <f t="shared" si="18"/>
        <v>0.0385848456534131</v>
      </c>
      <c r="P57" s="348">
        <f t="shared" si="18"/>
        <v>0.0385848456534131</v>
      </c>
      <c r="Q57" s="348">
        <f t="shared" si="18"/>
        <v>0.0385848456534131</v>
      </c>
      <c r="R57" s="348">
        <f t="shared" si="18"/>
        <v>0.0385848456534131</v>
      </c>
    </row>
    <row r="58" ht="14.25" customHeight="1" spans="2:18">
      <c r="B58" s="8"/>
      <c r="C58" s="372" t="s">
        <v>160</v>
      </c>
      <c r="D58" s="373">
        <f>'BS Input'!C65</f>
        <v>243449</v>
      </c>
      <c r="E58" s="373">
        <f>'BS Input'!D65</f>
        <v>257292</v>
      </c>
      <c r="F58" s="373">
        <f>'BS Input'!E65</f>
        <v>283282</v>
      </c>
      <c r="G58" s="373">
        <f>'BS Input'!F65</f>
        <v>361552</v>
      </c>
      <c r="H58" s="373">
        <f>'BS Input'!G65</f>
        <v>357828</v>
      </c>
      <c r="I58" s="12">
        <f>'Revenue Buildup'!H$14*I59</f>
        <v>488582.101066975</v>
      </c>
      <c r="J58" s="12">
        <f>'Revenue Buildup'!I$14*J59</f>
        <v>550079.387957458</v>
      </c>
      <c r="K58" s="12">
        <f>'Revenue Buildup'!J$14*K59</f>
        <v>613618.9226708</v>
      </c>
      <c r="L58" s="12">
        <f>'Revenue Buildup'!K$14*L59</f>
        <v>678148.104018164</v>
      </c>
      <c r="M58" s="12">
        <f>'Revenue Buildup'!L$14*M59</f>
        <v>742457.293346133</v>
      </c>
      <c r="N58" s="12">
        <f>'Revenue Buildup'!M$14*N59</f>
        <v>805212.055078516</v>
      </c>
      <c r="O58" s="12">
        <f>'Revenue Buildup'!N$14*O59</f>
        <v>864995.835849971</v>
      </c>
      <c r="P58" s="12">
        <f>'Revenue Buildup'!O$14*P59</f>
        <v>920361.535102863</v>
      </c>
      <c r="Q58" s="12">
        <f>'Revenue Buildup'!P$14*Q59</f>
        <v>969889.555225308</v>
      </c>
      <c r="R58" s="12">
        <f>'Revenue Buildup'!Q$14*R59</f>
        <v>1012249.16678432</v>
      </c>
    </row>
    <row r="59" ht="14.25" customHeight="1" spans="2:18">
      <c r="B59" s="8"/>
      <c r="C59" s="372"/>
      <c r="D59" s="365">
        <f>D58/'P&amp;L Input'!C$11</f>
        <v>0.208885006808418</v>
      </c>
      <c r="E59" s="365">
        <f>E58/'P&amp;L Input'!D$11</f>
        <v>0.184909533090708</v>
      </c>
      <c r="F59" s="365">
        <f>F58/'P&amp;L Input'!E$11</f>
        <v>0.18887682821451</v>
      </c>
      <c r="G59" s="365">
        <f>G58/'P&amp;L Input'!F$11</f>
        <v>0.209007475784056</v>
      </c>
      <c r="H59" s="365">
        <f>H58/'P&amp;L Input'!G$11</f>
        <v>0.169608594093646</v>
      </c>
      <c r="I59" s="348">
        <f>AVERAGE(D59:H59)</f>
        <v>0.192257487598268</v>
      </c>
      <c r="J59" s="348">
        <f t="shared" ref="J59:R59" si="19">I59</f>
        <v>0.192257487598268</v>
      </c>
      <c r="K59" s="348">
        <f t="shared" si="19"/>
        <v>0.192257487598268</v>
      </c>
      <c r="L59" s="348">
        <f t="shared" si="19"/>
        <v>0.192257487598268</v>
      </c>
      <c r="M59" s="348">
        <f t="shared" si="19"/>
        <v>0.192257487598268</v>
      </c>
      <c r="N59" s="348">
        <f t="shared" si="19"/>
        <v>0.192257487598268</v>
      </c>
      <c r="O59" s="348">
        <f t="shared" si="19"/>
        <v>0.192257487598268</v>
      </c>
      <c r="P59" s="348">
        <f t="shared" si="19"/>
        <v>0.192257487598268</v>
      </c>
      <c r="Q59" s="348">
        <f t="shared" si="19"/>
        <v>0.192257487598268</v>
      </c>
      <c r="R59" s="348">
        <f t="shared" si="19"/>
        <v>0.192257487598268</v>
      </c>
    </row>
    <row r="60" ht="14.25" customHeight="1" spans="2:18">
      <c r="B60" s="8"/>
      <c r="C60" s="372" t="s">
        <v>326</v>
      </c>
      <c r="D60" s="373">
        <f>'BS Input'!C66</f>
        <v>20725</v>
      </c>
      <c r="E60" s="373">
        <f>'BS Input'!D66</f>
        <v>17972</v>
      </c>
      <c r="F60" s="373">
        <f>'BS Input'!E66</f>
        <v>33031</v>
      </c>
      <c r="G60" s="373">
        <f>'BS Input'!F66</f>
        <v>20035</v>
      </c>
      <c r="H60" s="373">
        <f>'BS Input'!G66</f>
        <v>31400</v>
      </c>
      <c r="I60" s="12">
        <f>'Revenue Buildup'!H$14*I61</f>
        <v>40247.5254629339</v>
      </c>
      <c r="J60" s="12">
        <f>'Revenue Buildup'!I$14*J61</f>
        <v>44200.3861687872</v>
      </c>
      <c r="K60" s="12">
        <f>'Revenue Buildup'!J$14*K61</f>
        <v>50922.4533594785</v>
      </c>
      <c r="L60" s="12">
        <f>'Revenue Buildup'!K$14*L61</f>
        <v>51996.5686092179</v>
      </c>
      <c r="M60" s="12">
        <f>'Revenue Buildup'!L$14*M61</f>
        <v>59367.5448846324</v>
      </c>
      <c r="N60" s="12">
        <f>'Revenue Buildup'!M$14*N61</f>
        <v>64795.6166836901</v>
      </c>
      <c r="O60" s="12">
        <f>'Revenue Buildup'!N$14*O61</f>
        <v>69276.7091243767</v>
      </c>
      <c r="P60" s="12">
        <f>'Revenue Buildup'!O$14*P61</f>
        <v>73662.3612900875</v>
      </c>
      <c r="Q60" s="12">
        <f>'Revenue Buildup'!P$14*Q61</f>
        <v>77054.0190007955</v>
      </c>
      <c r="R60" s="12">
        <f>'Revenue Buildup'!Q$14*R61</f>
        <v>80980.4834944547</v>
      </c>
    </row>
    <row r="61" ht="14.25" customHeight="1" spans="2:18">
      <c r="B61" s="8"/>
      <c r="C61" s="374"/>
      <c r="D61" s="365">
        <f>D60/'P&amp;L Input'!C11</f>
        <v>0.01778254076256</v>
      </c>
      <c r="E61" s="365">
        <f>E60/'P&amp;L Input'!D11</f>
        <v>0.0129160414187235</v>
      </c>
      <c r="F61" s="365">
        <f>F60/'P&amp;L Input'!E11</f>
        <v>0.0220232507280854</v>
      </c>
      <c r="G61" s="365">
        <f>G60/'P&amp;L Input'!F11</f>
        <v>0.0115819156783355</v>
      </c>
      <c r="H61" s="365">
        <f>H60/'P&amp;L Input'!G11</f>
        <v>0.0148834352106053</v>
      </c>
      <c r="I61" s="348">
        <f t="shared" ref="I61:R61" si="20">AVERAGEA(D61:H61)</f>
        <v>0.0158374367596619</v>
      </c>
      <c r="J61" s="348">
        <f t="shared" si="20"/>
        <v>0.0154484159590823</v>
      </c>
      <c r="K61" s="348">
        <f t="shared" si="20"/>
        <v>0.0159548908671541</v>
      </c>
      <c r="L61" s="348">
        <f t="shared" si="20"/>
        <v>0.0147412188949678</v>
      </c>
      <c r="M61" s="348">
        <f t="shared" si="20"/>
        <v>0.0153730795382943</v>
      </c>
      <c r="N61" s="348">
        <f t="shared" si="20"/>
        <v>0.0154710084038321</v>
      </c>
      <c r="O61" s="348">
        <f t="shared" si="20"/>
        <v>0.0153977227326661</v>
      </c>
      <c r="P61" s="348">
        <f t="shared" si="20"/>
        <v>0.0153875840873829</v>
      </c>
      <c r="Q61" s="348">
        <f t="shared" si="20"/>
        <v>0.0152741227314287</v>
      </c>
      <c r="R61" s="348">
        <f t="shared" si="20"/>
        <v>0.0153807034987208</v>
      </c>
    </row>
    <row r="62" ht="14.25" customHeight="1" spans="2:18">
      <c r="B62" s="8"/>
      <c r="C62" s="8"/>
      <c r="D62" s="8"/>
      <c r="E62" s="8"/>
      <c r="F62" s="8"/>
      <c r="G62" s="8"/>
      <c r="H62" s="8"/>
      <c r="I62" s="8"/>
      <c r="J62" s="8"/>
      <c r="K62" s="8"/>
      <c r="L62" s="8"/>
      <c r="M62" s="8"/>
      <c r="N62" s="8"/>
      <c r="O62" s="8"/>
      <c r="P62" s="8"/>
      <c r="Q62" s="8"/>
      <c r="R62" s="8"/>
    </row>
  </sheetData>
  <mergeCells count="7">
    <mergeCell ref="B7:R7"/>
    <mergeCell ref="B10:C10"/>
    <mergeCell ref="B33:C33"/>
    <mergeCell ref="B35:C35"/>
    <mergeCell ref="B49:C49"/>
    <mergeCell ref="A1:J4"/>
    <mergeCell ref="B8:C9"/>
  </mergeCells>
  <pageMargins left="0.75" right="0.75" top="1" bottom="1" header="0.511811023622047" footer="0.511811023622047"/>
  <pageSetup paperSize="9" orientation="portrait" horizontalDpi="300" verticalDpi="300"/>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9E9E4"/>
  </sheetPr>
  <dimension ref="A1:Q18"/>
  <sheetViews>
    <sheetView showGridLines="0" workbookViewId="0">
      <selection activeCell="C13" sqref="C13:Q17"/>
    </sheetView>
  </sheetViews>
  <sheetFormatPr defaultColWidth="8.89814814814815" defaultRowHeight="14.4"/>
  <cols>
    <col min="1" max="1" width="2.55555555555556" style="1" customWidth="1"/>
    <col min="2" max="2" width="19.212962962963" style="1" customWidth="1"/>
    <col min="3" max="16" width="12.8888888888889" style="1" customWidth="1"/>
    <col min="17" max="17" width="15.8888888888889" style="1" customWidth="1"/>
  </cols>
  <sheetData>
    <row r="1" ht="14.25" customHeight="1" spans="1:17">
      <c r="A1" s="2" t="s">
        <v>84</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43" t="s">
        <v>11</v>
      </c>
      <c r="C7" s="343"/>
      <c r="D7" s="343"/>
      <c r="E7" s="343"/>
      <c r="F7" s="343"/>
      <c r="G7" s="343"/>
      <c r="H7" s="343"/>
      <c r="I7" s="343"/>
      <c r="J7" s="343"/>
      <c r="K7" s="343"/>
      <c r="L7" s="343"/>
      <c r="M7" s="343"/>
      <c r="N7" s="343"/>
      <c r="O7" s="343"/>
      <c r="P7" s="343"/>
      <c r="Q7" s="343"/>
    </row>
    <row r="8" ht="14.25" customHeight="1" spans="1:17">
      <c r="B8" s="344" t="s">
        <v>39</v>
      </c>
      <c r="C8" s="5" t="s">
        <v>327</v>
      </c>
      <c r="D8" s="24" t="s">
        <v>328</v>
      </c>
      <c r="E8" s="24" t="s">
        <v>329</v>
      </c>
      <c r="F8" s="24" t="s">
        <v>330</v>
      </c>
      <c r="G8" s="24" t="s">
        <v>331</v>
      </c>
      <c r="H8" s="345" t="s">
        <v>332</v>
      </c>
      <c r="I8" s="345" t="s">
        <v>333</v>
      </c>
      <c r="J8" s="345" t="s">
        <v>334</v>
      </c>
      <c r="K8" s="345" t="s">
        <v>335</v>
      </c>
      <c r="L8" s="345" t="s">
        <v>336</v>
      </c>
      <c r="M8" s="345" t="s">
        <v>337</v>
      </c>
      <c r="N8" s="345" t="s">
        <v>338</v>
      </c>
      <c r="O8" s="345" t="s">
        <v>339</v>
      </c>
      <c r="P8" s="345" t="s">
        <v>340</v>
      </c>
      <c r="Q8" s="345" t="s">
        <v>341</v>
      </c>
    </row>
    <row r="9" ht="15" customHeight="1" spans="1:17">
      <c r="B9" s="344"/>
      <c r="C9" s="6" t="s">
        <v>85</v>
      </c>
      <c r="D9" s="6" t="s">
        <v>85</v>
      </c>
      <c r="E9" s="6" t="s">
        <v>85</v>
      </c>
      <c r="F9" s="6" t="s">
        <v>85</v>
      </c>
      <c r="G9" s="6" t="s">
        <v>85</v>
      </c>
      <c r="H9" s="7" t="s">
        <v>254</v>
      </c>
      <c r="I9" s="7" t="s">
        <v>255</v>
      </c>
      <c r="J9" s="7" t="s">
        <v>255</v>
      </c>
      <c r="K9" s="7" t="s">
        <v>255</v>
      </c>
      <c r="L9" s="7" t="s">
        <v>255</v>
      </c>
      <c r="M9" s="7" t="s">
        <v>255</v>
      </c>
      <c r="N9" s="7" t="s">
        <v>255</v>
      </c>
      <c r="O9" s="7" t="s">
        <v>255</v>
      </c>
      <c r="P9" s="7" t="s">
        <v>255</v>
      </c>
      <c r="Q9" s="7" t="s">
        <v>255</v>
      </c>
    </row>
    <row r="10" ht="15" customHeight="1" spans="1:17">
      <c r="B10" s="346"/>
      <c r="C10" s="8"/>
      <c r="D10" s="8"/>
      <c r="E10" s="8"/>
      <c r="F10" s="8"/>
      <c r="G10" s="8"/>
      <c r="H10" s="9"/>
      <c r="I10" s="9"/>
      <c r="J10" s="9"/>
      <c r="K10" s="9"/>
      <c r="L10" s="9"/>
      <c r="M10" s="9"/>
      <c r="N10" s="9"/>
      <c r="O10" s="9"/>
      <c r="P10" s="9"/>
      <c r="Q10" s="9"/>
    </row>
    <row r="11" ht="15" customHeight="1" spans="1:17">
      <c r="B11" s="346" t="s">
        <v>130</v>
      </c>
      <c r="C11" s="65">
        <f>'BS Input'!C31</f>
        <v>40562</v>
      </c>
      <c r="D11" s="65">
        <f>'BS Input'!D31</f>
        <v>39815</v>
      </c>
      <c r="E11" s="65">
        <f>'BS Input'!E31</f>
        <v>47277</v>
      </c>
      <c r="F11" s="65">
        <f>'BS Input'!F31</f>
        <v>74557</v>
      </c>
      <c r="G11" s="65">
        <f>'BS Input'!G31</f>
        <v>79776</v>
      </c>
      <c r="H11" s="12">
        <f>H12*'Revenue Buildup'!H14</f>
        <v>88597.8884707554</v>
      </c>
      <c r="I11" s="12">
        <f>I12*'Revenue Buildup'!I14</f>
        <v>99749.6063770775</v>
      </c>
      <c r="J11" s="12">
        <f>J12*'Revenue Buildup'!J14</f>
        <v>111271.65885858</v>
      </c>
      <c r="K11" s="12">
        <f>K12*'Revenue Buildup'!K14</f>
        <v>122973.170640607</v>
      </c>
      <c r="L11" s="12">
        <f>L12*'Revenue Buildup'!L14</f>
        <v>134634.789785642</v>
      </c>
      <c r="M11" s="12">
        <f>M12*'Revenue Buildup'!M14</f>
        <v>146014.534088253</v>
      </c>
      <c r="N11" s="12">
        <f>N12*'Revenue Buildup'!N14</f>
        <v>156855.530370316</v>
      </c>
      <c r="O11" s="12">
        <f>O12*'Revenue Buildup'!O14</f>
        <v>166895.36612525</v>
      </c>
      <c r="P11" s="12">
        <f>P12*'Revenue Buildup'!P14</f>
        <v>175876.616141169</v>
      </c>
      <c r="Q11" s="12">
        <f>Q12*'Revenue Buildup'!Q14</f>
        <v>183557.970272592</v>
      </c>
    </row>
    <row r="12" ht="15" customHeight="1" spans="1:17">
      <c r="B12" s="346"/>
      <c r="C12" s="347">
        <f>C11/'P&amp;L Input'!C14</f>
        <v>0.0346443323095424</v>
      </c>
      <c r="D12" s="347">
        <f>D11/'P&amp;L Input'!D14</f>
        <v>0.0284227599095954</v>
      </c>
      <c r="E12" s="347">
        <f>E11/'P&amp;L Input'!E14</f>
        <v>0.0312228813257094</v>
      </c>
      <c r="F12" s="347">
        <f>F11/'P&amp;L Input'!F14</f>
        <v>0.042711657784278</v>
      </c>
      <c r="G12" s="347">
        <f>G11/'P&amp;L Input'!G14</f>
        <v>0.037315104862199</v>
      </c>
      <c r="H12" s="348">
        <f>AVERAGE(C12:G12)</f>
        <v>0.0348633472382648</v>
      </c>
      <c r="I12" s="348">
        <f t="shared" ref="I12:Q12" si="0">H12</f>
        <v>0.0348633472382648</v>
      </c>
      <c r="J12" s="348">
        <f t="shared" si="0"/>
        <v>0.0348633472382648</v>
      </c>
      <c r="K12" s="348">
        <f t="shared" si="0"/>
        <v>0.0348633472382648</v>
      </c>
      <c r="L12" s="348">
        <f t="shared" si="0"/>
        <v>0.0348633472382648</v>
      </c>
      <c r="M12" s="348">
        <f t="shared" si="0"/>
        <v>0.0348633472382648</v>
      </c>
      <c r="N12" s="348">
        <f t="shared" si="0"/>
        <v>0.0348633472382648</v>
      </c>
      <c r="O12" s="348">
        <f t="shared" si="0"/>
        <v>0.0348633472382648</v>
      </c>
      <c r="P12" s="348">
        <f t="shared" si="0"/>
        <v>0.0348633472382648</v>
      </c>
      <c r="Q12" s="348">
        <f t="shared" si="0"/>
        <v>0.0348633472382648</v>
      </c>
    </row>
    <row r="13" ht="15" customHeight="1" spans="1:17">
      <c r="B13" s="8" t="str">
        <f>'BS Input'!B28</f>
        <v>Inventories</v>
      </c>
      <c r="C13" s="349">
        <f>'BS Input'!C28</f>
        <v>3750</v>
      </c>
      <c r="D13" s="350">
        <f>'BS Input'!D28</f>
        <v>2576</v>
      </c>
      <c r="E13" s="350">
        <f>'BS Input'!E28</f>
        <v>3639</v>
      </c>
      <c r="F13" s="350">
        <f>'BS Input'!F28</f>
        <v>4517</v>
      </c>
      <c r="G13" s="350">
        <f>'BS Input'!G28</f>
        <v>6009</v>
      </c>
      <c r="H13" s="351">
        <f>'Revenue Buildup'!H14*H14</f>
        <v>6527.80560752887</v>
      </c>
      <c r="I13" s="351">
        <f>'Revenue Buildup'!I14*I14</f>
        <v>7349.45325555942</v>
      </c>
      <c r="J13" s="351">
        <f>'Revenue Buildup'!J14*J14</f>
        <v>8198.38679220708</v>
      </c>
      <c r="K13" s="351">
        <f>'Revenue Buildup'!K14*K14</f>
        <v>9060.54271426945</v>
      </c>
      <c r="L13" s="351">
        <f>'Revenue Buildup'!L14*L14</f>
        <v>9919.75938592808</v>
      </c>
      <c r="M13" s="351">
        <f>'Revenue Buildup'!M14*M14</f>
        <v>10758.2077953995</v>
      </c>
      <c r="N13" s="351">
        <f>'Revenue Buildup'!N14*N14</f>
        <v>11556.9617786234</v>
      </c>
      <c r="O13" s="351">
        <f>'Revenue Buildup'!O14*O14</f>
        <v>12296.687039247</v>
      </c>
      <c r="P13" s="351">
        <f>'Revenue Buildup'!P14*P14</f>
        <v>12958.4167399034</v>
      </c>
      <c r="Q13" s="351">
        <f>'Revenue Buildup'!Q14*Q14</f>
        <v>13524.3713855275</v>
      </c>
    </row>
    <row r="14" ht="15" customHeight="1" spans="1:17">
      <c r="B14" s="346"/>
      <c r="C14" s="352">
        <f>C13/'P&amp;L Input'!C14</f>
        <v>0.00320290533407584</v>
      </c>
      <c r="D14" s="352">
        <f>D13/'P&amp;L Input'!D14</f>
        <v>0.00183893079309601</v>
      </c>
      <c r="E14" s="352">
        <f>E13/'P&amp;L Input'!E14</f>
        <v>0.00240328415813729</v>
      </c>
      <c r="F14" s="352">
        <f>F13/'P&amp;L Input'!F14</f>
        <v>0.00258766525224437</v>
      </c>
      <c r="G14" s="352">
        <f>G13/'P&amp;L Input'!G14</f>
        <v>0.0028107007761351</v>
      </c>
      <c r="H14" s="353">
        <f>AVERAGE(C14:G14)</f>
        <v>0.00256869726273772</v>
      </c>
      <c r="I14" s="353">
        <f t="shared" ref="I14:Q14" si="1">H14</f>
        <v>0.00256869726273772</v>
      </c>
      <c r="J14" s="353">
        <f t="shared" si="1"/>
        <v>0.00256869726273772</v>
      </c>
      <c r="K14" s="353">
        <f t="shared" si="1"/>
        <v>0.00256869726273772</v>
      </c>
      <c r="L14" s="353">
        <f t="shared" si="1"/>
        <v>0.00256869726273772</v>
      </c>
      <c r="M14" s="353">
        <f t="shared" si="1"/>
        <v>0.00256869726273772</v>
      </c>
      <c r="N14" s="353">
        <f t="shared" si="1"/>
        <v>0.00256869726273772</v>
      </c>
      <c r="O14" s="353">
        <f t="shared" si="1"/>
        <v>0.00256869726273772</v>
      </c>
      <c r="P14" s="353">
        <f t="shared" si="1"/>
        <v>0.00256869726273772</v>
      </c>
      <c r="Q14" s="353">
        <f t="shared" si="1"/>
        <v>0.00256869726273772</v>
      </c>
    </row>
    <row r="15" ht="15" customHeight="1" spans="1:17">
      <c r="B15" s="346" t="s">
        <v>342</v>
      </c>
      <c r="C15" s="65">
        <f>'BS Input'!C62</f>
        <v>292741</v>
      </c>
      <c r="D15" s="65">
        <f>'BS Input'!D62</f>
        <v>328946</v>
      </c>
      <c r="E15" s="65">
        <f>'BS Input'!E62</f>
        <v>351325</v>
      </c>
      <c r="F15" s="65">
        <f>'BS Input'!F62</f>
        <v>381537</v>
      </c>
      <c r="G15" s="65">
        <f>'BS Input'!G62</f>
        <v>450152</v>
      </c>
      <c r="H15" s="12">
        <f>H16*'Revenue Buildup'!H14</f>
        <v>582469.305001337</v>
      </c>
      <c r="I15" s="12">
        <f>I16*'Revenue Buildup'!I14</f>
        <v>655784.070066087</v>
      </c>
      <c r="J15" s="12">
        <f>J16*'Revenue Buildup'!J14</f>
        <v>731533.526592976</v>
      </c>
      <c r="K15" s="12">
        <f>K16*'Revenue Buildup'!K14</f>
        <v>808462.802818246</v>
      </c>
      <c r="L15" s="12">
        <f>L16*'Revenue Buildup'!L14</f>
        <v>885129.81278701</v>
      </c>
      <c r="M15" s="12">
        <f>M16*'Revenue Buildup'!M14</f>
        <v>959943.692321199</v>
      </c>
      <c r="N15" s="12">
        <f>N16*'Revenue Buildup'!N14</f>
        <v>1031215.67948621</v>
      </c>
      <c r="O15" s="12">
        <f>O16*'Revenue Buildup'!O14</f>
        <v>1097220.59512745</v>
      </c>
      <c r="P15" s="12">
        <f>P16*'Revenue Buildup'!P14</f>
        <v>1156266.04807346</v>
      </c>
      <c r="Q15" s="12">
        <f>Q16*'Revenue Buildup'!Q14</f>
        <v>1206765.59247147</v>
      </c>
    </row>
    <row r="16" ht="15" customHeight="1" spans="1:17">
      <c r="B16" s="346"/>
      <c r="C16" s="354">
        <f>C15/'P&amp;L Input'!C14</f>
        <v>0.250032456107385</v>
      </c>
      <c r="D16" s="354">
        <f>D15/'P&amp;L Input'!D14</f>
        <v>0.234824894668386</v>
      </c>
      <c r="E16" s="354">
        <f>E15/'P&amp;L Input'!E14</f>
        <v>0.232023579790487</v>
      </c>
      <c r="F16" s="354">
        <f>F15/'P&amp;L Input'!F14</f>
        <v>0.218572069370281</v>
      </c>
      <c r="G16" s="354">
        <f>G15/'P&amp;L Input'!G14</f>
        <v>0.210557925741183</v>
      </c>
      <c r="H16" s="348">
        <f>AVERAGE(C16:G16)</f>
        <v>0.229202185135544</v>
      </c>
      <c r="I16" s="348">
        <f t="shared" ref="I16:Q16" si="2">H16</f>
        <v>0.229202185135544</v>
      </c>
      <c r="J16" s="348">
        <f t="shared" si="2"/>
        <v>0.229202185135544</v>
      </c>
      <c r="K16" s="348">
        <f t="shared" si="2"/>
        <v>0.229202185135544</v>
      </c>
      <c r="L16" s="348">
        <f t="shared" si="2"/>
        <v>0.229202185135544</v>
      </c>
      <c r="M16" s="348">
        <f t="shared" si="2"/>
        <v>0.229202185135544</v>
      </c>
      <c r="N16" s="348">
        <f t="shared" si="2"/>
        <v>0.229202185135544</v>
      </c>
      <c r="O16" s="348">
        <f t="shared" si="2"/>
        <v>0.229202185135544</v>
      </c>
      <c r="P16" s="348">
        <f t="shared" si="2"/>
        <v>0.229202185135544</v>
      </c>
      <c r="Q16" s="348">
        <f t="shared" si="2"/>
        <v>0.229202185135544</v>
      </c>
    </row>
    <row r="17" ht="15" customHeight="1" spans="2:17">
      <c r="B17" s="346"/>
      <c r="C17" s="8"/>
      <c r="D17" s="8"/>
      <c r="E17" s="8"/>
      <c r="F17" s="8"/>
      <c r="G17" s="8"/>
      <c r="H17" s="9"/>
      <c r="I17" s="9"/>
      <c r="J17" s="9"/>
      <c r="K17" s="9"/>
      <c r="L17" s="9"/>
      <c r="M17" s="9"/>
      <c r="N17" s="9"/>
      <c r="O17" s="9"/>
      <c r="P17" s="9"/>
      <c r="Q17" s="9"/>
    </row>
    <row r="18" ht="15" customHeight="1" spans="2:17">
      <c r="B18" s="355" t="s">
        <v>343</v>
      </c>
      <c r="C18" s="15">
        <f t="shared" ref="C18:Q18" si="3">C11+C13-C15</f>
        <v>-248429</v>
      </c>
      <c r="D18" s="15">
        <f t="shared" si="3"/>
        <v>-286555</v>
      </c>
      <c r="E18" s="15">
        <f t="shared" si="3"/>
        <v>-300409</v>
      </c>
      <c r="F18" s="15">
        <f t="shared" si="3"/>
        <v>-302463</v>
      </c>
      <c r="G18" s="15">
        <f t="shared" si="3"/>
        <v>-364367</v>
      </c>
      <c r="H18" s="15">
        <f t="shared" si="3"/>
        <v>-487343.610923052</v>
      </c>
      <c r="I18" s="15">
        <f t="shared" si="3"/>
        <v>-548685.01043345</v>
      </c>
      <c r="J18" s="15">
        <f t="shared" si="3"/>
        <v>-612063.480942189</v>
      </c>
      <c r="K18" s="15">
        <f t="shared" si="3"/>
        <v>-676429.089463369</v>
      </c>
      <c r="L18" s="15">
        <f t="shared" si="3"/>
        <v>-740575.263615439</v>
      </c>
      <c r="M18" s="15">
        <f t="shared" si="3"/>
        <v>-803170.950437547</v>
      </c>
      <c r="N18" s="15">
        <f t="shared" si="3"/>
        <v>-862803.187337275</v>
      </c>
      <c r="O18" s="15">
        <f t="shared" si="3"/>
        <v>-918028.541962956</v>
      </c>
      <c r="P18" s="15">
        <f t="shared" si="3"/>
        <v>-967431.015192391</v>
      </c>
      <c r="Q18" s="15">
        <f t="shared" si="3"/>
        <v>-1009683.25081335</v>
      </c>
    </row>
  </sheetData>
  <mergeCells count="3">
    <mergeCell ref="B7:Q7"/>
    <mergeCell ref="B8:B9"/>
    <mergeCell ref="A1:J4"/>
  </mergeCells>
  <pageMargins left="0.75" right="0.75" top="1" bottom="1" header="0.511811023622047" footer="0.511811023622047"/>
  <pageSetup paperSize="9" orientation="portrait" horizontalDpi="300" verticalDpi="300"/>
  <headerFooter/>
  <ignoredErrors>
    <ignoredError sqref="C13:Q17" 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R48"/>
  <sheetViews>
    <sheetView showGridLines="0" zoomScale="82" zoomScaleNormal="82" workbookViewId="0">
      <pane xSplit="2" ySplit="9" topLeftCell="C30" activePane="bottomRight" state="frozen"/>
      <selection/>
      <selection pane="topRight"/>
      <selection pane="bottomLeft"/>
      <selection pane="bottomRight" activeCell="B6" sqref="B6"/>
    </sheetView>
  </sheetViews>
  <sheetFormatPr defaultColWidth="8.89814814814815" defaultRowHeight="14.4"/>
  <cols>
    <col min="1" max="1" width="2.23148148148148" style="1" customWidth="1"/>
    <col min="2" max="2" width="30" style="1" customWidth="1"/>
    <col min="3" max="7" width="12.1111111111111" style="290" customWidth="1"/>
    <col min="8" max="15" width="12.8888888888889" style="1" customWidth="1"/>
    <col min="16" max="16" width="13.4444444444444" style="1" customWidth="1"/>
    <col min="17" max="17" width="14.8888888888889" style="1" customWidth="1"/>
  </cols>
  <sheetData>
    <row r="1" ht="14.25" customHeight="1" spans="1:18">
      <c r="A1" s="2" t="s">
        <v>252</v>
      </c>
      <c r="B1" s="2"/>
      <c r="C1" s="2"/>
      <c r="D1" s="2"/>
      <c r="E1" s="2"/>
      <c r="F1" s="2"/>
      <c r="G1" s="2"/>
      <c r="H1" s="2"/>
      <c r="I1" s="2"/>
      <c r="J1" s="2"/>
    </row>
    <row r="2" ht="14.25" customHeight="1" spans="1:18">
      <c r="A2" s="2"/>
      <c r="B2" s="2"/>
      <c r="C2" s="2"/>
      <c r="D2" s="2"/>
      <c r="E2" s="2"/>
      <c r="F2" s="2"/>
      <c r="G2" s="2"/>
      <c r="H2" s="2"/>
      <c r="I2" s="2"/>
      <c r="J2" s="2"/>
    </row>
    <row r="3" ht="14.25" customHeight="1" spans="1:18">
      <c r="A3" s="2"/>
      <c r="B3" s="2"/>
      <c r="C3" s="2"/>
      <c r="D3" s="2"/>
      <c r="E3" s="2"/>
      <c r="F3" s="2"/>
      <c r="G3" s="2"/>
      <c r="H3" s="2"/>
      <c r="I3" s="2"/>
      <c r="J3" s="2"/>
    </row>
    <row r="4" ht="14.25" customHeight="1" spans="1:18">
      <c r="A4" s="2"/>
      <c r="B4" s="2"/>
      <c r="C4" s="2"/>
      <c r="D4" s="2"/>
      <c r="E4" s="2"/>
      <c r="F4" s="2"/>
      <c r="G4" s="2"/>
      <c r="H4" s="2"/>
      <c r="I4" s="2"/>
      <c r="J4" s="2"/>
    </row>
    <row r="6" ht="14.25" customHeight="1" spans="1:18">
      <c r="Q6" s="244" t="s">
        <v>51</v>
      </c>
    </row>
    <row r="7" ht="15" customHeight="1" spans="1:18">
      <c r="B7" s="245" t="s">
        <v>12</v>
      </c>
      <c r="C7" s="245"/>
      <c r="D7" s="245"/>
      <c r="E7" s="245"/>
      <c r="F7" s="245"/>
      <c r="G7" s="245"/>
      <c r="H7" s="245"/>
      <c r="I7" s="245"/>
      <c r="J7" s="245"/>
      <c r="K7" s="245"/>
      <c r="L7" s="245"/>
      <c r="M7" s="245"/>
      <c r="N7" s="245"/>
      <c r="O7" s="245"/>
      <c r="P7" s="245"/>
      <c r="Q7" s="245"/>
    </row>
    <row r="8" ht="14.25" customHeight="1" spans="1:18">
      <c r="B8" s="198"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8">
      <c r="B9" s="198"/>
      <c r="C9" s="6" t="s">
        <v>85</v>
      </c>
      <c r="D9" s="6" t="s">
        <v>85</v>
      </c>
      <c r="E9" s="6" t="s">
        <v>85</v>
      </c>
      <c r="F9" s="6" t="s">
        <v>85</v>
      </c>
      <c r="G9" s="6" t="s">
        <v>85</v>
      </c>
      <c r="H9" s="7" t="s">
        <v>254</v>
      </c>
      <c r="I9" s="7" t="s">
        <v>255</v>
      </c>
      <c r="J9" s="7" t="s">
        <v>255</v>
      </c>
      <c r="K9" s="7" t="s">
        <v>255</v>
      </c>
      <c r="L9" s="7" t="s">
        <v>255</v>
      </c>
      <c r="M9" s="7" t="s">
        <v>255</v>
      </c>
      <c r="N9" s="7" t="s">
        <v>255</v>
      </c>
      <c r="O9" s="7" t="s">
        <v>255</v>
      </c>
      <c r="P9" s="7" t="s">
        <v>255</v>
      </c>
      <c r="Q9" s="7" t="s">
        <v>255</v>
      </c>
    </row>
    <row r="10" ht="14.25" customHeight="1" spans="1:18">
      <c r="B10" s="125" t="str">
        <f>'P&amp;L Input'!B11</f>
        <v>Revenue from Sale of Service</v>
      </c>
      <c r="C10" s="296">
        <f>'P&amp;L Input'!C11</f>
        <v>1165469</v>
      </c>
      <c r="D10" s="296">
        <f>'P&amp;L Input'!D11</f>
        <v>1391448</v>
      </c>
      <c r="E10" s="296">
        <f>'P&amp;L Input'!E11</f>
        <v>1499824</v>
      </c>
      <c r="F10" s="296">
        <f>'P&amp;L Input'!F11</f>
        <v>1729852</v>
      </c>
      <c r="G10" s="296">
        <f>'P&amp;L Input'!G11</f>
        <v>2109728</v>
      </c>
      <c r="H10" s="317">
        <f>'Revenue Buildup'!H10</f>
        <v>2507801.55009179</v>
      </c>
      <c r="I10" s="317">
        <f>'Revenue Buildup'!I10</f>
        <v>2823455.74833933</v>
      </c>
      <c r="J10" s="317">
        <f>'Revenue Buildup'!J10</f>
        <v>3149592.42690011</v>
      </c>
      <c r="K10" s="317">
        <f>'Revenue Buildup'!K10</f>
        <v>3480808.77857503</v>
      </c>
      <c r="L10" s="317">
        <f>'Revenue Buildup'!L10</f>
        <v>3810895.95190707</v>
      </c>
      <c r="M10" s="317">
        <f>'Revenue Buildup'!M10</f>
        <v>4133004.53591871</v>
      </c>
      <c r="N10" s="317">
        <f>'Revenue Buildup'!N10</f>
        <v>4439863.6242103</v>
      </c>
      <c r="O10" s="317">
        <f>'Revenue Buildup'!O10</f>
        <v>4724045.5172946</v>
      </c>
      <c r="P10" s="317">
        <f>'Revenue Buildup'!P10</f>
        <v>4978263.68321759</v>
      </c>
      <c r="Q10" s="317">
        <f>'Revenue Buildup'!Q10</f>
        <v>5195687.73394927</v>
      </c>
    </row>
    <row r="11" ht="14.25" customHeight="1" spans="1:18">
      <c r="B11" s="125" t="str">
        <f>'P&amp;L Input'!B12</f>
        <v>Other Operating Revenue</v>
      </c>
      <c r="C11" s="296">
        <f>'P&amp;L Input'!C12</f>
        <v>5343</v>
      </c>
      <c r="D11" s="296">
        <f>'P&amp;L Input'!D12</f>
        <v>9366</v>
      </c>
      <c r="E11" s="296">
        <f>'P&amp;L Input'!E12</f>
        <v>14354</v>
      </c>
      <c r="F11" s="296">
        <f>'P&amp;L Input'!F12</f>
        <v>15737</v>
      </c>
      <c r="G11" s="296">
        <f>'P&amp;L Input'!G12</f>
        <v>28173</v>
      </c>
      <c r="H11" s="317">
        <f>'Revenue Buildup'!H11</f>
        <v>33488.8161273567</v>
      </c>
      <c r="I11" s="317">
        <f>'Revenue Buildup'!I11</f>
        <v>37704.0162513669</v>
      </c>
      <c r="J11" s="317">
        <f>'Revenue Buildup'!J11</f>
        <v>42059.1978885699</v>
      </c>
      <c r="K11" s="317">
        <f>'Revenue Buildup'!K11</f>
        <v>46482.2127396491</v>
      </c>
      <c r="L11" s="317">
        <f>'Revenue Buildup'!L11</f>
        <v>50890.1487078324</v>
      </c>
      <c r="M11" s="317">
        <f>'Revenue Buildup'!M11</f>
        <v>55191.5397579393</v>
      </c>
      <c r="N11" s="317">
        <f>'Revenue Buildup'!N11</f>
        <v>59289.2912663987</v>
      </c>
      <c r="O11" s="317">
        <f>'Revenue Buildup'!O11</f>
        <v>63084.2148176167</v>
      </c>
      <c r="P11" s="317">
        <f>'Revenue Buildup'!P11</f>
        <v>66479.0071266481</v>
      </c>
      <c r="Q11" s="317">
        <f>'Revenue Buildup'!Q11</f>
        <v>69382.4561879791</v>
      </c>
    </row>
    <row r="12" ht="14.25" customHeight="1" spans="1:18">
      <c r="C12" s="318"/>
      <c r="D12" s="318"/>
      <c r="E12" s="318"/>
      <c r="F12" s="318"/>
      <c r="G12" s="318"/>
      <c r="H12" s="319"/>
      <c r="I12" s="319"/>
      <c r="J12" s="319"/>
      <c r="K12" s="319"/>
      <c r="L12" s="319"/>
      <c r="M12" s="319"/>
      <c r="N12" s="319"/>
      <c r="O12" s="319"/>
      <c r="P12" s="319"/>
      <c r="Q12" s="319"/>
    </row>
    <row r="13" ht="14.25" customHeight="1" spans="1:18">
      <c r="B13" s="293" t="str">
        <f>'P&amp;L Input'!B14</f>
        <v>Total Income</v>
      </c>
      <c r="C13" s="306">
        <f t="shared" ref="C13:Q13" si="0">SUM(C10:C11)</f>
        <v>1170812</v>
      </c>
      <c r="D13" s="306">
        <f t="shared" si="0"/>
        <v>1400814</v>
      </c>
      <c r="E13" s="306">
        <f t="shared" si="0"/>
        <v>1514178</v>
      </c>
      <c r="F13" s="306">
        <f t="shared" si="0"/>
        <v>1745589</v>
      </c>
      <c r="G13" s="306">
        <f t="shared" si="0"/>
        <v>2137901</v>
      </c>
      <c r="H13" s="320">
        <f t="shared" si="0"/>
        <v>2541290.36621915</v>
      </c>
      <c r="I13" s="320">
        <f t="shared" si="0"/>
        <v>2861159.7645907</v>
      </c>
      <c r="J13" s="320">
        <f t="shared" si="0"/>
        <v>3191651.62478868</v>
      </c>
      <c r="K13" s="320">
        <f t="shared" si="0"/>
        <v>3527290.99131468</v>
      </c>
      <c r="L13" s="320">
        <f t="shared" si="0"/>
        <v>3861786.1006149</v>
      </c>
      <c r="M13" s="320">
        <f t="shared" si="0"/>
        <v>4188196.07567665</v>
      </c>
      <c r="N13" s="320">
        <f t="shared" si="0"/>
        <v>4499152.9154767</v>
      </c>
      <c r="O13" s="320">
        <f t="shared" si="0"/>
        <v>4787129.73211222</v>
      </c>
      <c r="P13" s="320">
        <f t="shared" si="0"/>
        <v>5044742.69034423</v>
      </c>
      <c r="Q13" s="320">
        <f t="shared" si="0"/>
        <v>5265070.19013725</v>
      </c>
    </row>
    <row r="14" ht="14.25" customHeight="1" spans="1:18">
      <c r="C14" s="318"/>
      <c r="D14" s="318"/>
      <c r="E14" s="318"/>
      <c r="F14" s="318"/>
      <c r="G14" s="318"/>
      <c r="H14" s="319"/>
      <c r="I14" s="319"/>
      <c r="J14" s="319"/>
      <c r="K14" s="319"/>
      <c r="L14" s="319"/>
      <c r="M14" s="319"/>
      <c r="N14" s="319"/>
      <c r="O14" s="319"/>
      <c r="P14" s="319"/>
      <c r="Q14" s="319"/>
    </row>
    <row r="15" ht="14.25" customHeight="1" spans="1:18">
      <c r="B15" s="310" t="str">
        <f>'P&amp;L Input'!B16</f>
        <v>Expenses</v>
      </c>
      <c r="C15" s="296"/>
      <c r="D15" s="296"/>
      <c r="E15" s="296"/>
      <c r="F15" s="296"/>
      <c r="G15" s="296"/>
      <c r="H15" s="319"/>
      <c r="I15" s="319"/>
      <c r="J15" s="319"/>
      <c r="K15" s="319"/>
      <c r="L15" s="319"/>
      <c r="M15" s="319"/>
      <c r="N15" s="319"/>
      <c r="O15" s="319"/>
      <c r="P15" s="319"/>
      <c r="Q15" s="319"/>
    </row>
    <row r="16" ht="14.25" customHeight="1" spans="1:18">
      <c r="B16" s="125" t="str">
        <f>'P&amp;L Input'!B17</f>
        <v>Network operating expenses</v>
      </c>
      <c r="C16" s="296">
        <f>'P&amp;L Input'!C17</f>
        <v>250205</v>
      </c>
      <c r="D16" s="296">
        <f>'P&amp;L Input'!D17</f>
        <v>285433</v>
      </c>
      <c r="E16" s="296">
        <f>'P&amp;L Input'!E17</f>
        <v>300188</v>
      </c>
      <c r="F16" s="296">
        <f>'P&amp;L Input'!F17</f>
        <v>335043</v>
      </c>
      <c r="G16" s="296">
        <f>'P&amp;L Input'!G17</f>
        <v>397500</v>
      </c>
      <c r="H16" s="321">
        <f>'Cost Builup'!H13</f>
        <v>504996.469897269</v>
      </c>
      <c r="I16" s="321">
        <f>'Cost Builup'!I13</f>
        <v>568559.815177689</v>
      </c>
      <c r="J16" s="321">
        <f>'Cost Builup'!J13</f>
        <v>634234.019490701</v>
      </c>
      <c r="K16" s="321">
        <f>'Cost Builup'!K13</f>
        <v>700931.11853427</v>
      </c>
      <c r="L16" s="321">
        <f>'Cost Builup'!L13</f>
        <v>767400.834722517</v>
      </c>
      <c r="M16" s="321">
        <f>'Cost Builup'!M13</f>
        <v>832263.900878421</v>
      </c>
      <c r="N16" s="321">
        <f>'Cost Builup'!N13</f>
        <v>894056.173212521</v>
      </c>
      <c r="O16" s="321">
        <f>'Cost Builup'!O13</f>
        <v>951281.934481805</v>
      </c>
      <c r="P16" s="321">
        <f>'Cost Builup'!P13</f>
        <v>1002473.89437599</v>
      </c>
      <c r="Q16" s="321">
        <f>'Cost Builup'!Q13</f>
        <v>1046256.61637257</v>
      </c>
      <c r="R16" s="125"/>
    </row>
    <row r="17" ht="14.25" customHeight="1" spans="2:17">
      <c r="B17" s="125" t="str">
        <f>'P&amp;L Input'!B18</f>
        <v>Access charges</v>
      </c>
      <c r="C17" s="296">
        <f>'P&amp;L Input'!C18</f>
        <v>67611</v>
      </c>
      <c r="D17" s="296">
        <f>'P&amp;L Input'!D18</f>
        <v>76207</v>
      </c>
      <c r="E17" s="296">
        <f>'P&amp;L Input'!E18</f>
        <v>75185</v>
      </c>
      <c r="F17" s="296">
        <f>'P&amp;L Input'!F18</f>
        <v>71713</v>
      </c>
      <c r="G17" s="296">
        <f>'P&amp;L Input'!G18</f>
        <v>55416</v>
      </c>
      <c r="H17" s="321">
        <f>'Cost Builup'!H16</f>
        <v>116292.601314578</v>
      </c>
      <c r="I17" s="321">
        <f>'Cost Builup'!I16</f>
        <v>130930.221994225</v>
      </c>
      <c r="J17" s="321">
        <f>'Cost Builup'!J16</f>
        <v>146053.939711259</v>
      </c>
      <c r="K17" s="321">
        <f>'Cost Builup'!K16</f>
        <v>161413.21370676</v>
      </c>
      <c r="L17" s="321">
        <f>'Cost Builup'!L16</f>
        <v>176720.125071398</v>
      </c>
      <c r="M17" s="321">
        <f>'Cost Builup'!M16</f>
        <v>191657.050658312</v>
      </c>
      <c r="N17" s="321">
        <f>'Cost Builup'!N16</f>
        <v>205886.821595786</v>
      </c>
      <c r="O17" s="321">
        <f>'Cost Builup'!O16</f>
        <v>219064.99815129</v>
      </c>
      <c r="P17" s="321">
        <f>'Cost Builup'!P16</f>
        <v>230853.686859742</v>
      </c>
      <c r="Q17" s="321">
        <f>'Cost Builup'!Q16</f>
        <v>240936.146712681</v>
      </c>
    </row>
    <row r="18" ht="14.25" customHeight="1" spans="2:17">
      <c r="B18" s="125" t="str">
        <f>'P&amp;L Input'!B19</f>
        <v>License fee / Spectrum charges</v>
      </c>
      <c r="C18" s="296">
        <f>'P&amp;L Input'!C19</f>
        <v>110636</v>
      </c>
      <c r="D18" s="296">
        <f>'P&amp;L Input'!D19</f>
        <v>117517</v>
      </c>
      <c r="E18" s="296">
        <f>'P&amp;L Input'!E19</f>
        <v>120358</v>
      </c>
      <c r="F18" s="296">
        <f>'P&amp;L Input'!F19</f>
        <v>138290</v>
      </c>
      <c r="G18" s="296">
        <f>'P&amp;L Input'!G19</f>
        <v>153729</v>
      </c>
      <c r="H18" s="321">
        <f>'Cost Builup'!H19</f>
        <v>207879.303041297</v>
      </c>
      <c r="I18" s="321">
        <f>'Cost Builup'!I19</f>
        <v>234044.840235162</v>
      </c>
      <c r="J18" s="321">
        <f>'Cost Builup'!J19</f>
        <v>261079.302125871</v>
      </c>
      <c r="K18" s="321">
        <f>'Cost Builup'!K19</f>
        <v>288534.833581119</v>
      </c>
      <c r="L18" s="321">
        <f>'Cost Builup'!L19</f>
        <v>315896.764006844</v>
      </c>
      <c r="M18" s="321">
        <f>'Cost Builup'!M19</f>
        <v>342597.324880772</v>
      </c>
      <c r="N18" s="321">
        <f>'Cost Builup'!N19</f>
        <v>368033.80864226</v>
      </c>
      <c r="O18" s="321">
        <f>'Cost Builup'!O19</f>
        <v>391590.510674428</v>
      </c>
      <c r="P18" s="321">
        <f>'Cost Builup'!P19</f>
        <v>412663.428166872</v>
      </c>
      <c r="Q18" s="321">
        <f>'Cost Builup'!Q19</f>
        <v>430686.369467336</v>
      </c>
    </row>
    <row r="19" ht="14.25" customHeight="1" spans="2:17">
      <c r="B19" s="125" t="str">
        <f>'P&amp;L Input'!B20</f>
        <v>Employee benefits expense</v>
      </c>
      <c r="C19" s="296">
        <f>'P&amp;L Input'!C20</f>
        <v>44333</v>
      </c>
      <c r="D19" s="296">
        <f>'P&amp;L Input'!D20</f>
        <v>48308</v>
      </c>
      <c r="E19" s="296">
        <f>'P&amp;L Input'!E20</f>
        <v>53231</v>
      </c>
      <c r="F19" s="296">
        <f>'P&amp;L Input'!F20</f>
        <v>63089</v>
      </c>
      <c r="G19" s="296">
        <f>'P&amp;L Input'!G20</f>
        <v>75813</v>
      </c>
      <c r="H19" s="321">
        <f>'Cost Builup'!H22</f>
        <v>91033.7264344609</v>
      </c>
      <c r="I19" s="321">
        <f>'Cost Builup'!I22</f>
        <v>102492.040562269</v>
      </c>
      <c r="J19" s="321">
        <f>'Cost Builup'!J22</f>
        <v>114330.870941514</v>
      </c>
      <c r="K19" s="321">
        <f>'Cost Builup'!K22</f>
        <v>126354.09452868</v>
      </c>
      <c r="L19" s="321">
        <f>'Cost Builup'!L22</f>
        <v>138336.328703284</v>
      </c>
      <c r="M19" s="321">
        <f>'Cost Builup'!M22</f>
        <v>150028.938398829</v>
      </c>
      <c r="N19" s="321">
        <f>'Cost Builup'!N22</f>
        <v>161167.988175891</v>
      </c>
      <c r="O19" s="321">
        <f>'Cost Builup'!O22</f>
        <v>171483.850972816</v>
      </c>
      <c r="P19" s="321">
        <f>'Cost Builup'!P22</f>
        <v>180712.024139252</v>
      </c>
      <c r="Q19" s="321">
        <f>'Cost Builup'!Q22</f>
        <v>188604.56314572</v>
      </c>
    </row>
    <row r="20" ht="14.25" customHeight="1" spans="2:17">
      <c r="B20" s="125" t="str">
        <f>'P&amp;L Input'!B21</f>
        <v>Sales and marketing expenses</v>
      </c>
      <c r="C20" s="296">
        <f>'P&amp;L Input'!C21</f>
        <v>53035</v>
      </c>
      <c r="D20" s="296">
        <f>'P&amp;L Input'!D21</f>
        <v>72454</v>
      </c>
      <c r="E20" s="296">
        <f>'P&amp;L Input'!E21</f>
        <v>107882</v>
      </c>
      <c r="F20" s="296">
        <f>'P&amp;L Input'!F21</f>
        <v>114601</v>
      </c>
      <c r="G20" s="296">
        <f>'P&amp;L Input'!G21</f>
        <v>131073</v>
      </c>
      <c r="H20" s="321">
        <f>'Cost Builup'!H25</f>
        <v>150052.660152328</v>
      </c>
      <c r="I20" s="321">
        <f>'Cost Builup'!I25</f>
        <v>168939.621974949</v>
      </c>
      <c r="J20" s="321">
        <f>'Cost Builup'!J25</f>
        <v>188453.796128601</v>
      </c>
      <c r="K20" s="321">
        <f>'Cost Builup'!K25</f>
        <v>208271.909189801</v>
      </c>
      <c r="L20" s="321">
        <f>'Cost Builup'!L25</f>
        <v>228022.458605811</v>
      </c>
      <c r="M20" s="321">
        <f>'Cost Builup'!M25</f>
        <v>247295.614365315</v>
      </c>
      <c r="N20" s="321">
        <f>'Cost Builup'!N25</f>
        <v>265656.326554996</v>
      </c>
      <c r="O20" s="321">
        <f>'Cost Builup'!O25</f>
        <v>282660.163650026</v>
      </c>
      <c r="P20" s="321">
        <f>'Cost Builup'!P25</f>
        <v>297871.140792294</v>
      </c>
      <c r="Q20" s="321">
        <f>'Cost Builup'!Q25</f>
        <v>310880.566196066</v>
      </c>
    </row>
    <row r="21" ht="14.25" customHeight="1" spans="2:17">
      <c r="B21" s="125" t="str">
        <f>'P&amp;L Input'!B22</f>
        <v>Other expenses</v>
      </c>
      <c r="C21" s="296">
        <f>'P&amp;L Input'!C22</f>
        <v>64310</v>
      </c>
      <c r="D21" s="296">
        <f>'P&amp;L Input'!D22</f>
        <v>78794</v>
      </c>
      <c r="E21" s="296">
        <f>'P&amp;L Input'!E22</f>
        <v>60062</v>
      </c>
      <c r="F21" s="296">
        <f>'P&amp;L Input'!F22</f>
        <v>75524</v>
      </c>
      <c r="G21" s="296">
        <f>'P&amp;L Input'!G22</f>
        <v>99452</v>
      </c>
      <c r="H21" s="321">
        <f>'Cost Builup'!H28</f>
        <v>122300.600971654</v>
      </c>
      <c r="I21" s="321">
        <f>'Cost Builup'!I28</f>
        <v>137694.441901167</v>
      </c>
      <c r="J21" s="321">
        <f>'Cost Builup'!J28</f>
        <v>153599.492994792</v>
      </c>
      <c r="K21" s="321">
        <f>'Cost Builup'!K28</f>
        <v>169752.26986025</v>
      </c>
      <c r="L21" s="321">
        <f>'Cost Builup'!L28</f>
        <v>185849.978895506</v>
      </c>
      <c r="M21" s="321">
        <f>'Cost Builup'!M28</f>
        <v>201558.587657355</v>
      </c>
      <c r="N21" s="321">
        <f>'Cost Builup'!N28</f>
        <v>216523.50819116</v>
      </c>
      <c r="O21" s="321">
        <f>'Cost Builup'!O28</f>
        <v>230382.506048546</v>
      </c>
      <c r="P21" s="321">
        <f>'Cost Builup'!P28</f>
        <v>242780.231246999</v>
      </c>
      <c r="Q21" s="321">
        <f>'Cost Builup'!Q28</f>
        <v>253383.579055442</v>
      </c>
    </row>
    <row r="22" ht="14.25" customHeight="1" spans="2:17">
      <c r="C22" s="318"/>
      <c r="D22" s="318"/>
      <c r="E22" s="318"/>
      <c r="F22" s="318"/>
      <c r="G22" s="318"/>
      <c r="H22" s="319"/>
      <c r="I22" s="319"/>
      <c r="J22" s="319"/>
      <c r="K22" s="319"/>
      <c r="L22" s="319"/>
      <c r="M22" s="319"/>
      <c r="N22" s="319"/>
      <c r="O22" s="319"/>
      <c r="P22" s="319"/>
      <c r="Q22" s="319"/>
    </row>
    <row r="23" ht="14.25" customHeight="1" spans="2:17">
      <c r="B23" s="293" t="str">
        <f>'P&amp;L Input'!B24</f>
        <v>Total Expenses</v>
      </c>
      <c r="C23" s="322">
        <f t="shared" ref="C23:Q23" si="1">SUM(C16:C21)</f>
        <v>590130</v>
      </c>
      <c r="D23" s="322">
        <f t="shared" si="1"/>
        <v>678713</v>
      </c>
      <c r="E23" s="322">
        <f t="shared" si="1"/>
        <v>716906</v>
      </c>
      <c r="F23" s="322">
        <f t="shared" si="1"/>
        <v>798260</v>
      </c>
      <c r="G23" s="322">
        <f t="shared" si="1"/>
        <v>912983</v>
      </c>
      <c r="H23" s="323">
        <f t="shared" si="1"/>
        <v>1192555.36181159</v>
      </c>
      <c r="I23" s="323">
        <f t="shared" si="1"/>
        <v>1342660.98184546</v>
      </c>
      <c r="J23" s="323">
        <f t="shared" si="1"/>
        <v>1497751.42139274</v>
      </c>
      <c r="K23" s="323">
        <f t="shared" si="1"/>
        <v>1655257.43940088</v>
      </c>
      <c r="L23" s="323">
        <f t="shared" si="1"/>
        <v>1812226.49000536</v>
      </c>
      <c r="M23" s="323">
        <f t="shared" si="1"/>
        <v>1965401.41683901</v>
      </c>
      <c r="N23" s="323">
        <f t="shared" si="1"/>
        <v>2111324.62637261</v>
      </c>
      <c r="O23" s="323">
        <f t="shared" si="1"/>
        <v>2246463.96397891</v>
      </c>
      <c r="P23" s="323">
        <f t="shared" si="1"/>
        <v>2367354.40558114</v>
      </c>
      <c r="Q23" s="323">
        <f t="shared" si="1"/>
        <v>2470747.84094981</v>
      </c>
    </row>
    <row r="24" ht="14.25" customHeight="1" spans="2:17">
      <c r="C24" s="318"/>
      <c r="D24" s="318"/>
      <c r="E24" s="318"/>
      <c r="F24" s="318"/>
      <c r="G24" s="318"/>
      <c r="H24" s="319"/>
      <c r="I24" s="319"/>
      <c r="J24" s="319"/>
      <c r="K24" s="319"/>
      <c r="L24" s="319"/>
      <c r="M24" s="319"/>
      <c r="N24" s="319"/>
      <c r="O24" s="319"/>
      <c r="P24" s="319"/>
      <c r="Q24" s="319"/>
    </row>
    <row r="25" ht="14.25" customHeight="1" spans="2:17">
      <c r="B25" s="293" t="str">
        <f>'P&amp;L Input'!B26</f>
        <v>EBITDA</v>
      </c>
      <c r="C25" s="322">
        <f t="shared" ref="C25:Q25" si="2">C13-C23</f>
        <v>580682</v>
      </c>
      <c r="D25" s="322">
        <f t="shared" si="2"/>
        <v>722101</v>
      </c>
      <c r="E25" s="322">
        <f t="shared" si="2"/>
        <v>797272</v>
      </c>
      <c r="F25" s="322">
        <f t="shared" si="2"/>
        <v>947329</v>
      </c>
      <c r="G25" s="322">
        <f t="shared" si="2"/>
        <v>1224918</v>
      </c>
      <c r="H25" s="323">
        <f t="shared" si="2"/>
        <v>1348735.00440756</v>
      </c>
      <c r="I25" s="323">
        <f t="shared" si="2"/>
        <v>1518498.78274524</v>
      </c>
      <c r="J25" s="323">
        <f t="shared" si="2"/>
        <v>1693900.20339594</v>
      </c>
      <c r="K25" s="323">
        <f t="shared" si="2"/>
        <v>1872033.5519138</v>
      </c>
      <c r="L25" s="323">
        <f t="shared" si="2"/>
        <v>2049559.61060955</v>
      </c>
      <c r="M25" s="323">
        <f t="shared" si="2"/>
        <v>2222794.65883764</v>
      </c>
      <c r="N25" s="323">
        <f t="shared" si="2"/>
        <v>2387828.28910408</v>
      </c>
      <c r="O25" s="323">
        <f t="shared" si="2"/>
        <v>2540665.76813331</v>
      </c>
      <c r="P25" s="323">
        <f t="shared" si="2"/>
        <v>2677388.28476309</v>
      </c>
      <c r="Q25" s="323">
        <f t="shared" si="2"/>
        <v>2794322.34918743</v>
      </c>
    </row>
    <row r="26" ht="14.25" customHeight="1" spans="2:17">
      <c r="C26" s="318"/>
      <c r="D26" s="318"/>
      <c r="E26" s="318"/>
      <c r="F26" s="318"/>
      <c r="G26" s="318"/>
      <c r="H26" s="319"/>
      <c r="I26" s="319"/>
      <c r="J26" s="319"/>
      <c r="K26" s="319"/>
      <c r="L26" s="319"/>
      <c r="M26" s="319"/>
      <c r="N26" s="319"/>
      <c r="O26" s="319"/>
      <c r="P26" s="319"/>
      <c r="Q26" s="319"/>
    </row>
    <row r="27" ht="14.25" customHeight="1" spans="2:17">
      <c r="B27" s="125" t="str">
        <f>'P&amp;L Input'!B28</f>
        <v>Depreciation &amp; Amortisation</v>
      </c>
      <c r="C27" s="296">
        <f>'P&amp;L Input'!C28</f>
        <v>330907</v>
      </c>
      <c r="D27" s="296">
        <f>'P&amp;L Input'!D28</f>
        <v>364318</v>
      </c>
      <c r="E27" s="296">
        <f>'P&amp;L Input'!E28</f>
        <v>395376</v>
      </c>
      <c r="F27" s="296">
        <f>'P&amp;L Input'!F28</f>
        <v>455703</v>
      </c>
      <c r="G27" s="296">
        <f>'P&amp;L Input'!G28</f>
        <v>527108</v>
      </c>
      <c r="H27" s="324">
        <f>FAS!H168</f>
        <v>537650.16</v>
      </c>
      <c r="I27" s="324">
        <f>FAS!I168</f>
        <v>548403.1632</v>
      </c>
      <c r="J27" s="324">
        <f>FAS!J168</f>
        <v>559371.226464</v>
      </c>
      <c r="K27" s="324">
        <f>FAS!K168</f>
        <v>570558.65099328</v>
      </c>
      <c r="L27" s="324">
        <f>FAS!L168</f>
        <v>581969.824013146</v>
      </c>
      <c r="M27" s="324">
        <f>FAS!M168</f>
        <v>593609.220493409</v>
      </c>
      <c r="N27" s="324">
        <f>FAS!N168</f>
        <v>605481.404903277</v>
      </c>
      <c r="O27" s="324">
        <f>FAS!O168</f>
        <v>617591.033001342</v>
      </c>
      <c r="P27" s="324">
        <f>FAS!P168</f>
        <v>629942.853661369</v>
      </c>
      <c r="Q27" s="324">
        <f>FAS!Q168</f>
        <v>642541.710734597</v>
      </c>
    </row>
    <row r="28" ht="14.25" customHeight="1" spans="2:17">
      <c r="C28" s="318"/>
      <c r="D28" s="318"/>
      <c r="E28" s="318"/>
      <c r="F28" s="318"/>
      <c r="G28" s="318"/>
      <c r="H28" s="319"/>
      <c r="I28" s="319"/>
      <c r="J28" s="319"/>
      <c r="K28" s="319"/>
      <c r="L28" s="319"/>
      <c r="M28" s="319"/>
      <c r="N28" s="319"/>
      <c r="O28" s="319"/>
      <c r="P28" s="319"/>
      <c r="Q28" s="319"/>
    </row>
    <row r="29" ht="14.25" customHeight="1" spans="2:17">
      <c r="B29" s="293" t="str">
        <f>'P&amp;L Input'!B30</f>
        <v>EBIT</v>
      </c>
      <c r="C29" s="306">
        <f t="shared" ref="C29:Q29" si="3">C25-C27</f>
        <v>249775</v>
      </c>
      <c r="D29" s="306">
        <f t="shared" si="3"/>
        <v>357783</v>
      </c>
      <c r="E29" s="306">
        <f t="shared" si="3"/>
        <v>401896</v>
      </c>
      <c r="F29" s="306">
        <f t="shared" si="3"/>
        <v>491626</v>
      </c>
      <c r="G29" s="306">
        <f t="shared" si="3"/>
        <v>697810</v>
      </c>
      <c r="H29" s="320">
        <f t="shared" si="3"/>
        <v>811084.844407562</v>
      </c>
      <c r="I29" s="320">
        <f t="shared" si="3"/>
        <v>970095.619545235</v>
      </c>
      <c r="J29" s="320">
        <f t="shared" si="3"/>
        <v>1134528.97693194</v>
      </c>
      <c r="K29" s="320">
        <f t="shared" si="3"/>
        <v>1301474.90092052</v>
      </c>
      <c r="L29" s="320">
        <f t="shared" si="3"/>
        <v>1467589.7865964</v>
      </c>
      <c r="M29" s="320">
        <f t="shared" si="3"/>
        <v>1629185.43834423</v>
      </c>
      <c r="N29" s="320">
        <f t="shared" si="3"/>
        <v>1782346.88420081</v>
      </c>
      <c r="O29" s="320">
        <f t="shared" si="3"/>
        <v>1923074.73513196</v>
      </c>
      <c r="P29" s="320">
        <f t="shared" si="3"/>
        <v>2047445.43110172</v>
      </c>
      <c r="Q29" s="320">
        <f t="shared" si="3"/>
        <v>2151780.63845284</v>
      </c>
    </row>
    <row r="30" ht="14.25" customHeight="1" spans="2:17">
      <c r="C30" s="318"/>
      <c r="D30" s="318"/>
      <c r="E30" s="318"/>
      <c r="F30" s="318"/>
      <c r="G30" s="318"/>
      <c r="H30" s="319"/>
      <c r="I30" s="319"/>
      <c r="J30" s="319"/>
      <c r="K30" s="319"/>
      <c r="L30" s="319"/>
      <c r="M30" s="319"/>
      <c r="N30" s="319"/>
      <c r="O30" s="319"/>
      <c r="P30" s="319"/>
      <c r="Q30" s="319"/>
    </row>
    <row r="31" ht="14.25" customHeight="1" spans="2:17">
      <c r="B31" s="125" t="str">
        <f>'P&amp;L Input'!B32</f>
        <v>Finance Costs</v>
      </c>
      <c r="C31" s="296">
        <f>'P&amp;L Input'!C32</f>
        <v>166162</v>
      </c>
      <c r="D31" s="296">
        <f>'P&amp;L Input'!D32</f>
        <v>192999</v>
      </c>
      <c r="E31" s="296">
        <f>'P&amp;L Input'!E32</f>
        <v>226477</v>
      </c>
      <c r="F31" s="296">
        <f>'P&amp;L Input'!F32</f>
        <v>217539</v>
      </c>
      <c r="G31" s="296">
        <f>'P&amp;L Input'!G32</f>
        <v>215553</v>
      </c>
      <c r="H31" s="321">
        <f>'Cost Builup'!H31</f>
        <v>332763.810795288</v>
      </c>
      <c r="I31" s="321">
        <f>'Cost Builup'!I31</f>
        <v>374648.422398043</v>
      </c>
      <c r="J31" s="321">
        <f>'Cost Builup'!J31</f>
        <v>417923.969457989</v>
      </c>
      <c r="K31" s="321">
        <f>'Cost Builup'!K31</f>
        <v>461873.545682242</v>
      </c>
      <c r="L31" s="321">
        <f>'Cost Builup'!L31</f>
        <v>505673.289600813</v>
      </c>
      <c r="M31" s="321">
        <f>'Cost Builup'!M31</f>
        <v>548414.342975495</v>
      </c>
      <c r="N31" s="321">
        <f>'Cost Builup'!N31</f>
        <v>589131.918731576</v>
      </c>
      <c r="O31" s="321">
        <f>'Cost Builup'!O31</f>
        <v>626840.424693018</v>
      </c>
      <c r="P31" s="321">
        <f>'Cost Builup'!P31</f>
        <v>660573.000407721</v>
      </c>
      <c r="Q31" s="321">
        <f>'Cost Builup'!Q31</f>
        <v>689423.311819872</v>
      </c>
    </row>
    <row r="32" ht="14.25" customHeight="1" spans="2:17">
      <c r="B32" s="125" t="str">
        <f>'P&amp;L Input'!B33</f>
        <v>Share of Profit/(Loss) of Associates</v>
      </c>
      <c r="C32" s="296">
        <f>'P&amp;L Input'!C33</f>
        <v>-24232</v>
      </c>
      <c r="D32" s="296">
        <f>'P&amp;L Input'!D33</f>
        <v>-7521</v>
      </c>
      <c r="E32" s="296">
        <f>'P&amp;L Input'!E33</f>
        <v>-27094</v>
      </c>
      <c r="F32" s="296">
        <f>'P&amp;L Input'!F33</f>
        <v>-37030</v>
      </c>
      <c r="G32" s="296">
        <f>'P&amp;L Input'!G33</f>
        <v>-3645</v>
      </c>
      <c r="H32" s="321">
        <f>'Revenue Buildup'!H17</f>
        <v>-33803.0298506877</v>
      </c>
      <c r="I32" s="321">
        <f>'Revenue Buildup'!I17</f>
        <v>-38057.7797073762</v>
      </c>
      <c r="J32" s="321">
        <f>'Revenue Buildup'!J17</f>
        <v>-42453.8244743119</v>
      </c>
      <c r="K32" s="321">
        <f>'Revenue Buildup'!K17</f>
        <v>-46918.3389101904</v>
      </c>
      <c r="L32" s="321">
        <f>'Revenue Buildup'!L17</f>
        <v>-51367.6329833453</v>
      </c>
      <c r="M32" s="321">
        <f>'Revenue Buildup'!M17</f>
        <v>-55709.3824651213</v>
      </c>
      <c r="N32" s="321">
        <f>'Revenue Buildup'!N17</f>
        <v>-59845.5817274177</v>
      </c>
      <c r="O32" s="321">
        <f>'Revenue Buildup'!O17</f>
        <v>-63676.1117048005</v>
      </c>
      <c r="P32" s="321">
        <f>'Revenue Buildup'!P17</f>
        <v>-67102.7561499988</v>
      </c>
      <c r="Q32" s="321">
        <f>'Revenue Buildup'!Q17</f>
        <v>-70033.4472474947</v>
      </c>
    </row>
    <row r="33" ht="14.25" customHeight="1" spans="1:17">
      <c r="C33" s="318"/>
      <c r="D33" s="318"/>
      <c r="E33" s="318"/>
      <c r="F33" s="318"/>
      <c r="G33" s="318"/>
      <c r="H33" s="319"/>
      <c r="I33" s="319"/>
      <c r="J33" s="319"/>
      <c r="K33" s="319"/>
      <c r="L33" s="319"/>
      <c r="M33" s="319"/>
      <c r="N33" s="319"/>
      <c r="O33" s="319"/>
      <c r="P33" s="319"/>
      <c r="Q33" s="319"/>
    </row>
    <row r="34" ht="14.25" customHeight="1" spans="1:17">
      <c r="B34" s="293" t="str">
        <f>'P&amp;L Input'!B35</f>
        <v>Profit before exceptional items</v>
      </c>
      <c r="C34" s="306">
        <f t="shared" ref="C34:Q34" si="4">C29-C31-C32</f>
        <v>107845</v>
      </c>
      <c r="D34" s="306">
        <f t="shared" si="4"/>
        <v>172305</v>
      </c>
      <c r="E34" s="306">
        <f t="shared" si="4"/>
        <v>202513</v>
      </c>
      <c r="F34" s="306">
        <f t="shared" si="4"/>
        <v>311117</v>
      </c>
      <c r="G34" s="306">
        <f t="shared" si="4"/>
        <v>485902</v>
      </c>
      <c r="H34" s="320">
        <f t="shared" si="4"/>
        <v>512124.063462962</v>
      </c>
      <c r="I34" s="320">
        <f t="shared" si="4"/>
        <v>633504.976854569</v>
      </c>
      <c r="J34" s="320">
        <f t="shared" si="4"/>
        <v>759058.831948264</v>
      </c>
      <c r="K34" s="320">
        <f t="shared" si="4"/>
        <v>886519.694148471</v>
      </c>
      <c r="L34" s="320">
        <f t="shared" si="4"/>
        <v>1013284.12997893</v>
      </c>
      <c r="M34" s="320">
        <f t="shared" si="4"/>
        <v>1136480.47783386</v>
      </c>
      <c r="N34" s="320">
        <f t="shared" si="4"/>
        <v>1253060.54719665</v>
      </c>
      <c r="O34" s="320">
        <f t="shared" si="4"/>
        <v>1359910.42214375</v>
      </c>
      <c r="P34" s="320">
        <f t="shared" si="4"/>
        <v>1453975.186844</v>
      </c>
      <c r="Q34" s="320">
        <f t="shared" si="4"/>
        <v>1532390.77388046</v>
      </c>
    </row>
    <row r="35" ht="14.25" customHeight="1" spans="1:17">
      <c r="C35" s="318"/>
      <c r="D35" s="318"/>
      <c r="E35" s="318"/>
      <c r="F35" s="318"/>
      <c r="G35" s="318"/>
      <c r="H35" s="319"/>
      <c r="I35" s="319"/>
      <c r="J35" s="319"/>
      <c r="K35" s="319"/>
      <c r="L35" s="319"/>
      <c r="M35" s="319"/>
      <c r="N35" s="319"/>
      <c r="O35" s="319"/>
      <c r="P35" s="319"/>
      <c r="Q35" s="319"/>
    </row>
    <row r="36" ht="14.25" customHeight="1" spans="1:17">
      <c r="B36" s="125" t="str">
        <f>'P&amp;L Input'!B37</f>
        <v>Exceptional items</v>
      </c>
      <c r="C36" s="296">
        <f>'P&amp;L Input'!C37</f>
        <v>-16986</v>
      </c>
      <c r="D36" s="296">
        <f>'P&amp;L Input'!D37</f>
        <v>6698</v>
      </c>
      <c r="E36" s="296">
        <f>'P&amp;L Input'!E37</f>
        <v>75723</v>
      </c>
      <c r="F36" s="296">
        <f>'P&amp;L Input'!F37</f>
        <v>-72868</v>
      </c>
      <c r="G36" s="296">
        <f>'P&amp;L Input'!G37</f>
        <v>34175</v>
      </c>
      <c r="H36" s="325">
        <f>'Revenue Buildup'!H20</f>
        <v>7424.17593578602</v>
      </c>
      <c r="I36" s="325">
        <f>'Revenue Buildup'!I20</f>
        <v>18260.4076381286</v>
      </c>
      <c r="J36" s="325">
        <f>'Revenue Buildup'!J20</f>
        <v>21411.3627757086</v>
      </c>
      <c r="K36" s="325">
        <f>'Revenue Buildup'!K20</f>
        <v>-6752.14121502982</v>
      </c>
      <c r="L36" s="325">
        <f>'Revenue Buildup'!L20</f>
        <v>23234.9694038399</v>
      </c>
      <c r="M36" s="325">
        <f>'Revenue Buildup'!M20</f>
        <v>16848.7136046804</v>
      </c>
      <c r="N36" s="325">
        <f>'Revenue Buildup'!N20</f>
        <v>19090.8131362431</v>
      </c>
      <c r="O36" s="325">
        <f>'Revenue Buildup'!O20</f>
        <v>18264.8531860003</v>
      </c>
      <c r="P36" s="325">
        <f>'Revenue Buildup'!P20</f>
        <v>16328.7177515088</v>
      </c>
      <c r="Q36" s="325">
        <f>'Revenue Buildup'!Q20</f>
        <v>22465.9824569598</v>
      </c>
    </row>
    <row r="37" ht="14.25" customHeight="1" spans="1:17">
      <c r="C37" s="318"/>
      <c r="D37" s="318"/>
      <c r="E37" s="318"/>
      <c r="F37" s="318"/>
      <c r="G37" s="318"/>
      <c r="H37" s="319"/>
      <c r="I37" s="319"/>
      <c r="J37" s="319"/>
      <c r="K37" s="319"/>
      <c r="L37" s="319"/>
      <c r="M37" s="319"/>
      <c r="N37" s="319"/>
      <c r="O37" s="319"/>
      <c r="P37" s="319"/>
      <c r="Q37" s="319"/>
    </row>
    <row r="38" ht="14.25" customHeight="1" spans="1:17">
      <c r="B38" s="293" t="str">
        <f>'P&amp;L Input'!B39</f>
        <v>Profit before Tax</v>
      </c>
      <c r="C38" s="322">
        <f t="shared" ref="C38:Q38" si="5">C34-C36</f>
        <v>124831</v>
      </c>
      <c r="D38" s="322">
        <f t="shared" si="5"/>
        <v>165607</v>
      </c>
      <c r="E38" s="322">
        <f t="shared" si="5"/>
        <v>126790</v>
      </c>
      <c r="F38" s="322">
        <f t="shared" si="5"/>
        <v>383985</v>
      </c>
      <c r="G38" s="322">
        <f t="shared" si="5"/>
        <v>451727</v>
      </c>
      <c r="H38" s="323">
        <f t="shared" si="5"/>
        <v>504699.887527176</v>
      </c>
      <c r="I38" s="323">
        <f t="shared" si="5"/>
        <v>615244.56921644</v>
      </c>
      <c r="J38" s="323">
        <f t="shared" si="5"/>
        <v>737647.469172555</v>
      </c>
      <c r="K38" s="323">
        <f t="shared" si="5"/>
        <v>893271.835363501</v>
      </c>
      <c r="L38" s="323">
        <f t="shared" si="5"/>
        <v>990049.160575092</v>
      </c>
      <c r="M38" s="323">
        <f t="shared" si="5"/>
        <v>1119631.76422918</v>
      </c>
      <c r="N38" s="323">
        <f t="shared" si="5"/>
        <v>1233969.73406041</v>
      </c>
      <c r="O38" s="323">
        <f t="shared" si="5"/>
        <v>1341645.56895775</v>
      </c>
      <c r="P38" s="323">
        <f t="shared" si="5"/>
        <v>1437646.46909249</v>
      </c>
      <c r="Q38" s="323">
        <f t="shared" si="5"/>
        <v>1509924.7914235</v>
      </c>
    </row>
    <row r="39" ht="14.25" customHeight="1" spans="1:17">
      <c r="C39" s="318"/>
      <c r="D39" s="318"/>
      <c r="E39" s="318"/>
      <c r="F39" s="318"/>
      <c r="G39" s="318"/>
      <c r="H39" s="326"/>
      <c r="I39" s="326"/>
      <c r="J39" s="326"/>
      <c r="K39" s="326"/>
      <c r="L39" s="326"/>
      <c r="M39" s="326"/>
      <c r="N39" s="326"/>
      <c r="O39" s="326"/>
      <c r="P39" s="326"/>
      <c r="Q39" s="326"/>
    </row>
    <row r="40" ht="14.25" customHeight="1" spans="1:17">
      <c r="B40" s="125" t="str">
        <f>'P&amp;L Input'!B41</f>
        <v>Taxes</v>
      </c>
      <c r="C40" s="296">
        <f>'P&amp;L Input'!C41</f>
        <v>41779</v>
      </c>
      <c r="D40" s="296">
        <f>'P&amp;L Input'!D41</f>
        <v>42733</v>
      </c>
      <c r="E40" s="296">
        <f>'P&amp;L Input'!E41</f>
        <v>41210</v>
      </c>
      <c r="F40" s="296">
        <f>'P&amp;L Input'!F41</f>
        <v>9172</v>
      </c>
      <c r="G40" s="296">
        <f>'P&amp;L Input'!G41</f>
        <v>113499</v>
      </c>
      <c r="H40" s="327">
        <f>H38*'Cost Builup'!H34</f>
        <v>129332.2412982</v>
      </c>
      <c r="I40" s="327">
        <f>I38*'Cost Builup'!I34</f>
        <v>157659.950100589</v>
      </c>
      <c r="J40" s="327">
        <f>J38*'Cost Builup'!J34</f>
        <v>192714.63270224</v>
      </c>
      <c r="K40" s="327">
        <f>K38*'Cost Builup'!K34</f>
        <v>233372.391080574</v>
      </c>
      <c r="L40" s="327">
        <f>L38*'Cost Builup'!L34</f>
        <v>263606.26824055</v>
      </c>
      <c r="M40" s="327">
        <f>M38*'Cost Builup'!M34</f>
        <v>298108.379790552</v>
      </c>
      <c r="N40" s="327">
        <f>N38*'Cost Builup'!N34</f>
        <v>334721.368807444</v>
      </c>
      <c r="O40" s="327">
        <f>O38*'Cost Builup'!O34</f>
        <v>363929.056686243</v>
      </c>
      <c r="P40" s="327">
        <f>P38*'Cost Builup'!P34</f>
        <v>397158.083885005</v>
      </c>
      <c r="Q40" s="327">
        <f>Q38*'Cost Builup'!Q34</f>
        <v>417125.385040433</v>
      </c>
    </row>
    <row r="41" ht="14.25" customHeight="1" spans="1:17">
      <c r="B41" s="125"/>
      <c r="C41" s="318"/>
      <c r="D41" s="318"/>
      <c r="E41" s="318"/>
      <c r="F41" s="318"/>
      <c r="G41" s="318"/>
      <c r="H41" s="328"/>
      <c r="I41" s="328"/>
      <c r="J41" s="328"/>
      <c r="K41" s="328"/>
      <c r="L41" s="328"/>
      <c r="M41" s="328"/>
      <c r="N41" s="328"/>
      <c r="O41" s="328"/>
      <c r="P41" s="328"/>
      <c r="Q41" s="328"/>
    </row>
    <row r="42" ht="14.25" customHeight="1" spans="1:17">
      <c r="A42" s="329"/>
      <c r="B42" s="293" t="str">
        <f>'P&amp;L Input'!B43</f>
        <v>Net Profit</v>
      </c>
      <c r="C42" s="322">
        <f t="shared" ref="C42:Q42" si="6">C38-C40</f>
        <v>83052</v>
      </c>
      <c r="D42" s="322">
        <f t="shared" si="6"/>
        <v>122874</v>
      </c>
      <c r="E42" s="322">
        <f t="shared" si="6"/>
        <v>85580</v>
      </c>
      <c r="F42" s="322">
        <f t="shared" si="6"/>
        <v>374813</v>
      </c>
      <c r="G42" s="322">
        <f t="shared" si="6"/>
        <v>338228</v>
      </c>
      <c r="H42" s="323">
        <f t="shared" si="6"/>
        <v>375367.646228976</v>
      </c>
      <c r="I42" s="323">
        <f t="shared" si="6"/>
        <v>457584.619115851</v>
      </c>
      <c r="J42" s="323">
        <f t="shared" si="6"/>
        <v>544932.836470315</v>
      </c>
      <c r="K42" s="323">
        <f t="shared" si="6"/>
        <v>659899.444282927</v>
      </c>
      <c r="L42" s="323">
        <f t="shared" si="6"/>
        <v>726442.892334542</v>
      </c>
      <c r="M42" s="323">
        <f t="shared" si="6"/>
        <v>821523.384438625</v>
      </c>
      <c r="N42" s="323">
        <f t="shared" si="6"/>
        <v>899248.365252962</v>
      </c>
      <c r="O42" s="323">
        <f t="shared" si="6"/>
        <v>977716.512271502</v>
      </c>
      <c r="P42" s="323">
        <f t="shared" si="6"/>
        <v>1040488.38520748</v>
      </c>
      <c r="Q42" s="323">
        <f t="shared" si="6"/>
        <v>1092799.40638307</v>
      </c>
    </row>
    <row r="43" ht="14.25" customHeight="1" spans="1:17">
      <c r="B43" s="330"/>
      <c r="C43" s="331"/>
      <c r="D43" s="331"/>
      <c r="E43" s="331"/>
      <c r="F43" s="331"/>
      <c r="G43" s="331"/>
      <c r="H43" s="332"/>
      <c r="I43" s="332"/>
      <c r="J43" s="332"/>
      <c r="K43" s="332"/>
      <c r="L43" s="332"/>
      <c r="M43" s="332"/>
      <c r="N43" s="332"/>
      <c r="O43" s="332"/>
      <c r="P43" s="332"/>
      <c r="Q43" s="332"/>
    </row>
    <row r="44" ht="14.25" customHeight="1" spans="1:17">
      <c r="H44" s="201"/>
      <c r="I44" s="201"/>
      <c r="J44" s="201"/>
      <c r="K44" s="201"/>
      <c r="L44" s="201"/>
      <c r="M44" s="201"/>
      <c r="N44" s="201"/>
      <c r="O44" s="201"/>
      <c r="P44" s="201"/>
      <c r="Q44" s="201"/>
    </row>
    <row r="45" ht="14.25" customHeight="1" spans="1:17">
      <c r="B45" s="333" t="s">
        <v>344</v>
      </c>
      <c r="C45" s="334">
        <f t="shared" ref="C45:Q45" si="7">(C42*1000)/5549342</f>
        <v>14.9660986834115</v>
      </c>
      <c r="D45" s="334">
        <f t="shared" si="7"/>
        <v>22.1420845930923</v>
      </c>
      <c r="E45" s="334">
        <f t="shared" si="7"/>
        <v>15.4216481881996</v>
      </c>
      <c r="F45" s="334">
        <f t="shared" si="7"/>
        <v>67.5418815419918</v>
      </c>
      <c r="G45" s="334">
        <f t="shared" si="7"/>
        <v>60.9492080322316</v>
      </c>
      <c r="H45" s="335">
        <f t="shared" si="7"/>
        <v>67.6418296491685</v>
      </c>
      <c r="I45" s="335">
        <f t="shared" si="7"/>
        <v>82.4574551569989</v>
      </c>
      <c r="J45" s="335">
        <f t="shared" si="7"/>
        <v>98.197738843689</v>
      </c>
      <c r="K45" s="335">
        <f t="shared" si="7"/>
        <v>118.914899150733</v>
      </c>
      <c r="L45" s="335">
        <f t="shared" si="7"/>
        <v>130.906131273679</v>
      </c>
      <c r="M45" s="335">
        <f t="shared" si="7"/>
        <v>148.039782813643</v>
      </c>
      <c r="N45" s="335">
        <f t="shared" si="7"/>
        <v>162.045944411601</v>
      </c>
      <c r="O45" s="335">
        <f t="shared" si="7"/>
        <v>176.186025707463</v>
      </c>
      <c r="P45" s="335">
        <f t="shared" si="7"/>
        <v>187.497614168938</v>
      </c>
      <c r="Q45" s="335">
        <f t="shared" si="7"/>
        <v>196.924140985195</v>
      </c>
    </row>
    <row r="46" ht="14.25" customHeight="1" spans="1:17">
      <c r="B46" s="336"/>
      <c r="H46" s="201"/>
      <c r="I46" s="201"/>
      <c r="J46" s="201"/>
      <c r="K46" s="201"/>
      <c r="L46" s="201"/>
      <c r="M46" s="201"/>
      <c r="N46" s="201"/>
      <c r="O46" s="201"/>
      <c r="P46" s="201"/>
      <c r="Q46" s="201"/>
    </row>
    <row r="47" ht="14.25" customHeight="1" spans="1:17">
      <c r="B47" s="337" t="s">
        <v>345</v>
      </c>
      <c r="C47" s="338">
        <v>51736</v>
      </c>
      <c r="D47" s="338">
        <v>58756</v>
      </c>
      <c r="E47" s="338">
        <v>79863</v>
      </c>
      <c r="F47" s="338">
        <v>70963</v>
      </c>
      <c r="G47" s="338">
        <v>70963</v>
      </c>
      <c r="H47" s="339">
        <f t="shared" ref="H47:Q47" si="8">G47*(1+H48)</f>
        <v>85851.6176454936</v>
      </c>
      <c r="I47" s="339">
        <f t="shared" si="8"/>
        <v>103863.989013261</v>
      </c>
      <c r="J47" s="339">
        <f t="shared" si="8"/>
        <v>125655.503176334</v>
      </c>
      <c r="K47" s="339">
        <f t="shared" si="8"/>
        <v>152019.05519421</v>
      </c>
      <c r="L47" s="339">
        <f t="shared" si="8"/>
        <v>183913.895993159</v>
      </c>
      <c r="M47" s="339">
        <f t="shared" si="8"/>
        <v>222500.535187319</v>
      </c>
      <c r="N47" s="339">
        <f t="shared" si="8"/>
        <v>269182.966797055</v>
      </c>
      <c r="O47" s="339">
        <f t="shared" si="8"/>
        <v>325659.754268286</v>
      </c>
      <c r="P47" s="339">
        <f t="shared" si="8"/>
        <v>393985.833546585</v>
      </c>
      <c r="Q47" s="339">
        <f t="shared" si="8"/>
        <v>476647.282941568</v>
      </c>
    </row>
    <row r="48" ht="14.25" customHeight="1" spans="1:17">
      <c r="B48" s="340" t="s">
        <v>346</v>
      </c>
      <c r="C48" s="341">
        <f>C47/C42</f>
        <v>0.622935028656745</v>
      </c>
      <c r="D48" s="341">
        <f>D47/D42</f>
        <v>0.478180900760128</v>
      </c>
      <c r="E48" s="341">
        <f>E47/E42</f>
        <v>0.93319700864688</v>
      </c>
      <c r="F48" s="341">
        <f>F47/F42</f>
        <v>0.189329078767279</v>
      </c>
      <c r="G48" s="341">
        <f>G47/G42</f>
        <v>0.209808176732855</v>
      </c>
      <c r="H48" s="342">
        <f t="shared" ref="H48:Q48" si="9">G48</f>
        <v>0.209808176732855</v>
      </c>
      <c r="I48" s="342">
        <f t="shared" si="9"/>
        <v>0.209808176732855</v>
      </c>
      <c r="J48" s="342">
        <f t="shared" si="9"/>
        <v>0.209808176732855</v>
      </c>
      <c r="K48" s="342">
        <f t="shared" si="9"/>
        <v>0.209808176732855</v>
      </c>
      <c r="L48" s="342">
        <f t="shared" si="9"/>
        <v>0.209808176732855</v>
      </c>
      <c r="M48" s="342">
        <f t="shared" si="9"/>
        <v>0.209808176732855</v>
      </c>
      <c r="N48" s="342">
        <f t="shared" si="9"/>
        <v>0.209808176732855</v>
      </c>
      <c r="O48" s="342">
        <f t="shared" si="9"/>
        <v>0.209808176732855</v>
      </c>
      <c r="P48" s="342">
        <f t="shared" si="9"/>
        <v>0.209808176732855</v>
      </c>
      <c r="Q48" s="342">
        <f t="shared" si="9"/>
        <v>0.209808176732855</v>
      </c>
    </row>
  </sheetData>
  <mergeCells count="3">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76"/>
  <sheetViews>
    <sheetView showGridLines="0" topLeftCell="A8" workbookViewId="0">
      <pane xSplit="2" ySplit="2" topLeftCell="C31" activePane="bottomRight" state="frozen"/>
      <selection/>
      <selection pane="topRight"/>
      <selection pane="bottomLeft"/>
      <selection pane="bottomRight" activeCell="T57" sqref="T57"/>
    </sheetView>
  </sheetViews>
  <sheetFormatPr defaultColWidth="8.89814814814815" defaultRowHeight="14.4"/>
  <cols>
    <col min="1" max="1" width="2" style="1" customWidth="1"/>
    <col min="2" max="2" width="35.4444444444444" style="1" customWidth="1"/>
    <col min="3" max="6" width="12.1111111111111" style="290" customWidth="1"/>
    <col min="7" max="7" width="15" style="290" customWidth="1"/>
    <col min="8" max="10" width="14.1111111111111" style="126" customWidth="1"/>
    <col min="11" max="17" width="15.25" style="126" customWidth="1"/>
  </cols>
  <sheetData>
    <row r="1" ht="14.25" customHeight="1" spans="1:17">
      <c r="A1" s="291" t="s">
        <v>252</v>
      </c>
      <c r="B1" s="291"/>
      <c r="C1" s="291"/>
      <c r="D1" s="291"/>
      <c r="E1" s="291"/>
      <c r="F1" s="291"/>
      <c r="G1" s="291"/>
      <c r="H1" s="291"/>
      <c r="I1" s="291"/>
      <c r="J1" s="291"/>
    </row>
    <row r="2" ht="14.25" customHeight="1" spans="1:17">
      <c r="A2" s="291"/>
      <c r="B2" s="291"/>
      <c r="C2" s="291"/>
      <c r="D2" s="291"/>
      <c r="E2" s="291"/>
      <c r="F2" s="291"/>
      <c r="G2" s="291"/>
      <c r="H2" s="291"/>
      <c r="I2" s="291"/>
      <c r="J2" s="291"/>
    </row>
    <row r="3" ht="14.25" customHeight="1" spans="1:17">
      <c r="A3" s="291"/>
      <c r="B3" s="291"/>
      <c r="C3" s="291"/>
      <c r="D3" s="291"/>
      <c r="E3" s="291"/>
      <c r="F3" s="291"/>
      <c r="G3" s="291"/>
      <c r="H3" s="291"/>
      <c r="I3" s="291"/>
      <c r="J3" s="291"/>
    </row>
    <row r="4" ht="14.25" customHeight="1" spans="1:17">
      <c r="A4" s="291"/>
      <c r="B4" s="291"/>
      <c r="C4" s="291"/>
      <c r="D4" s="291"/>
      <c r="E4" s="291"/>
      <c r="F4" s="291"/>
      <c r="G4" s="291"/>
      <c r="H4" s="291"/>
      <c r="I4" s="291"/>
      <c r="J4" s="291"/>
    </row>
    <row r="6" ht="14.25" customHeight="1" spans="1:17">
      <c r="Q6" s="292" t="s">
        <v>51</v>
      </c>
    </row>
    <row r="7" ht="15" customHeight="1" spans="1:17">
      <c r="B7" s="245" t="s">
        <v>12</v>
      </c>
      <c r="C7" s="245"/>
      <c r="D7" s="245"/>
      <c r="E7" s="245"/>
      <c r="F7" s="245"/>
      <c r="G7" s="245"/>
      <c r="H7" s="245"/>
      <c r="I7" s="245"/>
      <c r="J7" s="245"/>
      <c r="K7" s="245"/>
      <c r="L7" s="245"/>
      <c r="M7" s="245"/>
      <c r="N7" s="245"/>
      <c r="O7" s="245"/>
      <c r="P7" s="245"/>
      <c r="Q7" s="245"/>
    </row>
    <row r="8" ht="14.25" customHeight="1" spans="1:17">
      <c r="B8" s="198"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7">
      <c r="B9" s="198"/>
      <c r="C9" s="6" t="s">
        <v>85</v>
      </c>
      <c r="D9" s="6" t="s">
        <v>85</v>
      </c>
      <c r="E9" s="6" t="s">
        <v>85</v>
      </c>
      <c r="F9" s="6" t="s">
        <v>85</v>
      </c>
      <c r="G9" s="6" t="s">
        <v>85</v>
      </c>
      <c r="H9" s="246" t="s">
        <v>254</v>
      </c>
      <c r="I9" s="246" t="s">
        <v>255</v>
      </c>
      <c r="J9" s="246" t="s">
        <v>255</v>
      </c>
      <c r="K9" s="246" t="s">
        <v>255</v>
      </c>
      <c r="L9" s="246" t="s">
        <v>255</v>
      </c>
      <c r="M9" s="246" t="s">
        <v>255</v>
      </c>
      <c r="N9" s="246" t="s">
        <v>255</v>
      </c>
      <c r="O9" s="246" t="s">
        <v>255</v>
      </c>
      <c r="P9" s="246" t="s">
        <v>255</v>
      </c>
      <c r="Q9" s="246" t="s">
        <v>255</v>
      </c>
    </row>
    <row r="10" ht="14.25" customHeight="1" spans="1:17">
      <c r="B10" s="293" t="str">
        <f>'BS Input'!B8</f>
        <v>ASSETS</v>
      </c>
      <c r="H10" s="294"/>
      <c r="I10" s="294"/>
      <c r="J10" s="294"/>
      <c r="K10" s="294"/>
      <c r="L10" s="294"/>
      <c r="M10" s="294"/>
      <c r="N10" s="294"/>
      <c r="O10" s="294"/>
      <c r="P10" s="294"/>
      <c r="Q10" s="294"/>
    </row>
    <row r="11" ht="14.25" customHeight="1" spans="1:17">
      <c r="B11" s="295" t="str">
        <f>'BS Input'!B9</f>
        <v>Non-current assets</v>
      </c>
      <c r="C11" s="126"/>
      <c r="D11" s="126"/>
      <c r="E11" s="126"/>
      <c r="F11" s="126"/>
      <c r="G11" s="126"/>
      <c r="H11" s="294"/>
      <c r="I11" s="294"/>
      <c r="J11" s="294"/>
      <c r="K11" s="294"/>
      <c r="L11" s="294"/>
      <c r="M11" s="294"/>
      <c r="N11" s="294"/>
      <c r="O11" s="294"/>
      <c r="P11" s="294"/>
      <c r="Q11" s="294"/>
    </row>
    <row r="12" ht="14.25" customHeight="1" spans="1:17">
      <c r="B12" s="125" t="str">
        <f>'BS Input'!B10</f>
        <v>Property, Plant &amp; Equipment</v>
      </c>
      <c r="C12" s="296">
        <f>'BS Input'!C10</f>
        <v>905725</v>
      </c>
      <c r="D12" s="296">
        <f>'BS Input'!D10</f>
        <v>952241</v>
      </c>
      <c r="E12" s="296">
        <f>'BS Input'!E10</f>
        <v>1066121</v>
      </c>
      <c r="F12" s="296">
        <f>'BS Input'!F10</f>
        <v>1432724</v>
      </c>
      <c r="G12" s="296">
        <f>'BS Input'!G10</f>
        <v>1570659</v>
      </c>
      <c r="H12" s="297">
        <f>FAS!H140</f>
        <v>2083882.2</v>
      </c>
      <c r="I12" s="297">
        <f>FAS!I140</f>
        <v>2597105.4</v>
      </c>
      <c r="J12" s="297">
        <f>FAS!J140</f>
        <v>3110328.6</v>
      </c>
      <c r="K12" s="297">
        <f>FAS!K140</f>
        <v>3828841.08</v>
      </c>
      <c r="L12" s="297">
        <f>FAS!L140</f>
        <v>4547353.56</v>
      </c>
      <c r="M12" s="297">
        <f>FAS!M140</f>
        <v>5265866.04</v>
      </c>
      <c r="N12" s="297">
        <f>FAS!N140</f>
        <v>6271783.512</v>
      </c>
      <c r="O12" s="297">
        <f>FAS!O140</f>
        <v>7277700.984</v>
      </c>
      <c r="P12" s="297">
        <f>FAS!P140</f>
        <v>8283618.456</v>
      </c>
      <c r="Q12" s="297">
        <f>FAS!Q140</f>
        <v>9691902.9168</v>
      </c>
    </row>
    <row r="13" ht="14.25" customHeight="1" spans="1:17">
      <c r="B13" s="125" t="str">
        <f>'BS Input'!B11</f>
        <v>Capital Work-in-Progress</v>
      </c>
      <c r="C13" s="296">
        <f>'BS Input'!C11</f>
        <v>42386</v>
      </c>
      <c r="D13" s="296">
        <f>'BS Input'!D11</f>
        <v>110293</v>
      </c>
      <c r="E13" s="296">
        <f>'BS Input'!E11</f>
        <v>89077</v>
      </c>
      <c r="F13" s="296">
        <f>'BS Input'!F11</f>
        <v>105962</v>
      </c>
      <c r="G13" s="296">
        <f>'BS Input'!G11</f>
        <v>126131</v>
      </c>
      <c r="H13" s="297">
        <f>FAS!H173</f>
        <v>147067.25</v>
      </c>
      <c r="I13" s="297">
        <f>FAS!I173</f>
        <v>168003.5</v>
      </c>
      <c r="J13" s="297">
        <f>FAS!J173</f>
        <v>188939.75</v>
      </c>
      <c r="K13" s="297">
        <f>FAS!K173</f>
        <v>209876</v>
      </c>
      <c r="L13" s="297">
        <f>FAS!L173</f>
        <v>230812.25</v>
      </c>
      <c r="M13" s="297">
        <f>FAS!M173</f>
        <v>251748.5</v>
      </c>
      <c r="N13" s="297">
        <f>FAS!N173</f>
        <v>272684.75</v>
      </c>
      <c r="O13" s="297">
        <f>FAS!O173</f>
        <v>293621</v>
      </c>
      <c r="P13" s="297">
        <f>FAS!P173</f>
        <v>314557.25</v>
      </c>
      <c r="Q13" s="297">
        <f>FAS!Q173</f>
        <v>335493.5</v>
      </c>
    </row>
    <row r="14" ht="14.25" customHeight="1" spans="1:17">
      <c r="B14" s="125" t="str">
        <f>'BS Input'!B12</f>
        <v>Right-of-use Assets</v>
      </c>
      <c r="C14" s="296">
        <f>'BS Input'!C12</f>
        <v>322286</v>
      </c>
      <c r="D14" s="296">
        <f>'BS Input'!D12</f>
        <v>546466</v>
      </c>
      <c r="E14" s="296">
        <f>'BS Input'!E12</f>
        <v>559367</v>
      </c>
      <c r="F14" s="296">
        <f>'BS Input'!F12</f>
        <v>602415</v>
      </c>
      <c r="G14" s="296">
        <f>'BS Input'!G12</f>
        <v>673244</v>
      </c>
      <c r="H14" s="297">
        <f>FAS!H149</f>
        <v>673244</v>
      </c>
      <c r="I14" s="297">
        <f>FAS!I149</f>
        <v>673244</v>
      </c>
      <c r="J14" s="297">
        <f>FAS!J149</f>
        <v>673244</v>
      </c>
      <c r="K14" s="297">
        <f>FAS!K149</f>
        <v>673244</v>
      </c>
      <c r="L14" s="297">
        <f>FAS!L149</f>
        <v>673244</v>
      </c>
      <c r="M14" s="297">
        <f>FAS!M149</f>
        <v>673244</v>
      </c>
      <c r="N14" s="297">
        <f>FAS!N149</f>
        <v>673244</v>
      </c>
      <c r="O14" s="297">
        <f>FAS!O149</f>
        <v>673244</v>
      </c>
      <c r="P14" s="297">
        <f>FAS!P149</f>
        <v>673244</v>
      </c>
      <c r="Q14" s="297">
        <f>FAS!Q149</f>
        <v>673244</v>
      </c>
    </row>
    <row r="15" ht="14.25" customHeight="1" spans="1:17">
      <c r="B15" s="125" t="str">
        <f>'BS Input'!B13</f>
        <v>Goodwill</v>
      </c>
      <c r="C15" s="296">
        <f>'BS Input'!C13</f>
        <v>338313</v>
      </c>
      <c r="D15" s="296">
        <f>'BS Input'!D13</f>
        <v>337741</v>
      </c>
      <c r="E15" s="296">
        <f>'BS Input'!E13</f>
        <v>265017</v>
      </c>
      <c r="F15" s="296">
        <f>'BS Input'!F13</f>
        <v>516974</v>
      </c>
      <c r="G15" s="296">
        <f>'BS Input'!G13</f>
        <v>566859</v>
      </c>
      <c r="H15" s="297">
        <f t="shared" ref="H15:Q15" si="0">G15</f>
        <v>566859</v>
      </c>
      <c r="I15" s="297">
        <f t="shared" si="0"/>
        <v>566859</v>
      </c>
      <c r="J15" s="297">
        <f t="shared" si="0"/>
        <v>566859</v>
      </c>
      <c r="K15" s="297">
        <f t="shared" si="0"/>
        <v>566859</v>
      </c>
      <c r="L15" s="297">
        <f t="shared" si="0"/>
        <v>566859</v>
      </c>
      <c r="M15" s="297">
        <f t="shared" si="0"/>
        <v>566859</v>
      </c>
      <c r="N15" s="297">
        <f t="shared" si="0"/>
        <v>566859</v>
      </c>
      <c r="O15" s="297">
        <f t="shared" si="0"/>
        <v>566859</v>
      </c>
      <c r="P15" s="297">
        <f t="shared" si="0"/>
        <v>566859</v>
      </c>
      <c r="Q15" s="297">
        <f t="shared" si="0"/>
        <v>566859</v>
      </c>
    </row>
    <row r="16" ht="14.25" customHeight="1" spans="1:17">
      <c r="B16" s="125" t="str">
        <f>'BS Input'!B14</f>
        <v>Other Intangible Assets</v>
      </c>
      <c r="C16" s="296">
        <f>'BS Input'!C14</f>
        <v>874509</v>
      </c>
      <c r="D16" s="296">
        <f>'BS Input'!D14</f>
        <v>937490</v>
      </c>
      <c r="E16" s="296">
        <f>'BS Input'!E14</f>
        <v>1142526</v>
      </c>
      <c r="F16" s="296">
        <f>'BS Input'!F14</f>
        <v>1332569</v>
      </c>
      <c r="G16" s="296">
        <f>'BS Input'!G14</f>
        <v>1252604</v>
      </c>
      <c r="H16" s="297">
        <f>FAS!H157</f>
        <v>1252604</v>
      </c>
      <c r="I16" s="297">
        <f>FAS!I157</f>
        <v>1252604</v>
      </c>
      <c r="J16" s="297">
        <f>FAS!J157</f>
        <v>1252604</v>
      </c>
      <c r="K16" s="297">
        <f>FAS!K157</f>
        <v>1252604</v>
      </c>
      <c r="L16" s="297">
        <f>FAS!L157</f>
        <v>1252604</v>
      </c>
      <c r="M16" s="297">
        <f>FAS!M157</f>
        <v>1252604</v>
      </c>
      <c r="N16" s="297">
        <f>FAS!N157</f>
        <v>1252604</v>
      </c>
      <c r="O16" s="297">
        <f>FAS!O157</f>
        <v>1252604</v>
      </c>
      <c r="P16" s="297">
        <f>FAS!P157</f>
        <v>1252604</v>
      </c>
      <c r="Q16" s="297">
        <f>FAS!Q157</f>
        <v>1252604</v>
      </c>
    </row>
    <row r="17" ht="14.25" customHeight="1" spans="2:17">
      <c r="B17" s="125" t="str">
        <f>'BS Input'!B15</f>
        <v>Intangible Assets Under Development</v>
      </c>
      <c r="C17" s="296">
        <f>'BS Input'!C15</f>
        <v>17161</v>
      </c>
      <c r="D17" s="296">
        <f>'BS Input'!D15</f>
        <v>383961</v>
      </c>
      <c r="E17" s="296">
        <f>'BS Input'!E15</f>
        <v>79964</v>
      </c>
      <c r="F17" s="296">
        <f>'BS Input'!F15</f>
        <v>4027</v>
      </c>
      <c r="G17" s="296">
        <f>'BS Input'!G15</f>
        <v>3250</v>
      </c>
      <c r="H17" s="297">
        <f>FAS!H165</f>
        <v>3250</v>
      </c>
      <c r="I17" s="297">
        <f>FAS!I165</f>
        <v>3250</v>
      </c>
      <c r="J17" s="297">
        <f>FAS!J165</f>
        <v>3250</v>
      </c>
      <c r="K17" s="297">
        <f>FAS!K165</f>
        <v>3250</v>
      </c>
      <c r="L17" s="297">
        <f>FAS!L165</f>
        <v>3250</v>
      </c>
      <c r="M17" s="297">
        <f>FAS!M165</f>
        <v>3250</v>
      </c>
      <c r="N17" s="297">
        <f>FAS!N165</f>
        <v>3250</v>
      </c>
      <c r="O17" s="297">
        <f>FAS!O165</f>
        <v>3250</v>
      </c>
      <c r="P17" s="297">
        <f>FAS!P165</f>
        <v>3250</v>
      </c>
      <c r="Q17" s="297">
        <f>FAS!Q165</f>
        <v>3250</v>
      </c>
    </row>
    <row r="18" ht="14.25" customHeight="1" spans="2:17">
      <c r="B18" s="125" t="str">
        <f>'BS Input'!B16</f>
        <v>Investment in Joint Ventures &amp; Associates</v>
      </c>
      <c r="C18" s="296">
        <f>'BS Input'!C16</f>
        <v>284268</v>
      </c>
      <c r="D18" s="296">
        <f>'BS Input'!D16</f>
        <v>281838</v>
      </c>
      <c r="E18" s="296">
        <f>'BS Input'!E16</f>
        <v>312404</v>
      </c>
      <c r="F18" s="296">
        <f>'BS Input'!F16</f>
        <v>36416</v>
      </c>
      <c r="G18" s="296">
        <f>'BS Input'!G16</f>
        <v>40622</v>
      </c>
      <c r="H18" s="297">
        <f>'BS items'!I13</f>
        <v>353269.208084806</v>
      </c>
      <c r="I18" s="297">
        <f>'BS items'!J13</f>
        <v>397734.81128992</v>
      </c>
      <c r="J18" s="297">
        <f>'BS items'!K13</f>
        <v>443677.061448573</v>
      </c>
      <c r="K18" s="297">
        <f>'BS items'!L13</f>
        <v>490334.875443726</v>
      </c>
      <c r="L18" s="297">
        <f>'BS items'!M13</f>
        <v>536833.624245318</v>
      </c>
      <c r="M18" s="297">
        <f>'BS items'!N13</f>
        <v>582208.444428735</v>
      </c>
      <c r="N18" s="297">
        <f>'BS items'!O13</f>
        <v>625435.097315375</v>
      </c>
      <c r="O18" s="297">
        <f>'BS items'!P13</f>
        <v>665467.25708426</v>
      </c>
      <c r="P18" s="297">
        <f>'BS items'!Q13</f>
        <v>701278.483914827</v>
      </c>
      <c r="Q18" s="297">
        <f>'BS items'!R13</f>
        <v>731906.594108699</v>
      </c>
    </row>
    <row r="19" ht="14.25" customHeight="1" spans="2:17">
      <c r="B19" s="298" t="str">
        <f>'BS Input'!B17</f>
        <v>Financial Assets</v>
      </c>
      <c r="C19" s="296"/>
      <c r="D19" s="296"/>
      <c r="E19" s="296"/>
      <c r="F19" s="296"/>
      <c r="G19" s="296"/>
      <c r="H19" s="297"/>
      <c r="I19" s="297"/>
      <c r="J19" s="297"/>
      <c r="K19" s="297"/>
      <c r="L19" s="297"/>
      <c r="M19" s="297"/>
      <c r="N19" s="297"/>
      <c r="O19" s="297"/>
      <c r="P19" s="297"/>
      <c r="Q19" s="297"/>
    </row>
    <row r="20" ht="14.25" customHeight="1" spans="2:17">
      <c r="B20" s="125" t="str">
        <f>'BS Input'!B18</f>
        <v>Investments</v>
      </c>
      <c r="C20" s="296">
        <f>'BS Input'!C18</f>
        <v>609</v>
      </c>
      <c r="D20" s="296">
        <f>'BS Input'!D18</f>
        <v>656</v>
      </c>
      <c r="E20" s="296">
        <f>'BS Input'!E18</f>
        <v>924</v>
      </c>
      <c r="F20" s="296">
        <f>'BS Input'!F18</f>
        <v>5435</v>
      </c>
      <c r="G20" s="296">
        <f>'BS Input'!G18</f>
        <v>11385</v>
      </c>
      <c r="H20" s="297">
        <f>'BS items'!I15</f>
        <v>5157.99482671769</v>
      </c>
      <c r="I20" s="297">
        <f>'BS items'!J15</f>
        <v>5807.22591182206</v>
      </c>
      <c r="J20" s="297">
        <f>'BS items'!K15</f>
        <v>6478.01714757906</v>
      </c>
      <c r="K20" s="297">
        <f>'BS items'!L15</f>
        <v>7159.25615088099</v>
      </c>
      <c r="L20" s="297">
        <f>'BS items'!M15</f>
        <v>7838.17268331164</v>
      </c>
      <c r="M20" s="297">
        <f>'BS items'!N15</f>
        <v>8500.67901676237</v>
      </c>
      <c r="N20" s="297">
        <f>'BS items'!O15</f>
        <v>9131.82049997957</v>
      </c>
      <c r="O20" s="297">
        <f>'BS items'!P15</f>
        <v>9716.31999290078</v>
      </c>
      <c r="P20" s="297">
        <f>'BS items'!Q15</f>
        <v>10239.1907059524</v>
      </c>
      <c r="Q20" s="297">
        <f>'BS items'!R15</f>
        <v>10686.3840370343</v>
      </c>
    </row>
    <row r="21" ht="14.25" customHeight="1" spans="2:17">
      <c r="B21" s="125" t="str">
        <f>'BS Input'!B19</f>
        <v>Derivative instruments</v>
      </c>
      <c r="C21" s="296">
        <f>'BS Input'!C19</f>
        <v>218</v>
      </c>
      <c r="D21" s="296">
        <f>'BS Input'!D19</f>
        <v>854</v>
      </c>
      <c r="E21" s="296">
        <f>'BS Input'!E19</f>
        <v>65</v>
      </c>
      <c r="F21" s="296" t="str">
        <f>'BS Input'!F19</f>
        <v>-</v>
      </c>
      <c r="G21" s="296" t="str">
        <f>'BS Input'!G19</f>
        <v>-</v>
      </c>
      <c r="H21" s="297" t="str">
        <f t="shared" ref="H21:Q21" si="1">G21</f>
        <v>-</v>
      </c>
      <c r="I21" s="297" t="str">
        <f t="shared" si="1"/>
        <v>-</v>
      </c>
      <c r="J21" s="297" t="str">
        <f t="shared" si="1"/>
        <v>-</v>
      </c>
      <c r="K21" s="297" t="str">
        <f t="shared" si="1"/>
        <v>-</v>
      </c>
      <c r="L21" s="297" t="str">
        <f t="shared" si="1"/>
        <v>-</v>
      </c>
      <c r="M21" s="297" t="str">
        <f t="shared" si="1"/>
        <v>-</v>
      </c>
      <c r="N21" s="297" t="str">
        <f t="shared" si="1"/>
        <v>-</v>
      </c>
      <c r="O21" s="297" t="str">
        <f t="shared" si="1"/>
        <v>-</v>
      </c>
      <c r="P21" s="297" t="str">
        <f t="shared" si="1"/>
        <v>-</v>
      </c>
      <c r="Q21" s="297" t="str">
        <f t="shared" si="1"/>
        <v>-</v>
      </c>
    </row>
    <row r="22" ht="14.25" customHeight="1" spans="2:17">
      <c r="B22" s="125" t="str">
        <f>'BS Input'!B20</f>
        <v>Trade Receivables</v>
      </c>
      <c r="C22" s="296">
        <f>'BS Input'!C20</f>
        <v>0</v>
      </c>
      <c r="D22" s="296">
        <f>'BS Input'!D20</f>
        <v>0</v>
      </c>
      <c r="E22" s="296">
        <f>'BS Input'!E20</f>
        <v>1805</v>
      </c>
      <c r="F22" s="296">
        <f>'BS Input'!F20</f>
        <v>2131</v>
      </c>
      <c r="G22" s="296">
        <f>'BS Input'!G20</f>
        <v>2544</v>
      </c>
      <c r="H22" s="297">
        <f t="shared" ref="H22:Q22" si="2">G22</f>
        <v>2544</v>
      </c>
      <c r="I22" s="297">
        <f t="shared" si="2"/>
        <v>2544</v>
      </c>
      <c r="J22" s="297">
        <f t="shared" si="2"/>
        <v>2544</v>
      </c>
      <c r="K22" s="297">
        <f t="shared" si="2"/>
        <v>2544</v>
      </c>
      <c r="L22" s="297">
        <f t="shared" si="2"/>
        <v>2544</v>
      </c>
      <c r="M22" s="297">
        <f t="shared" si="2"/>
        <v>2544</v>
      </c>
      <c r="N22" s="297">
        <f t="shared" si="2"/>
        <v>2544</v>
      </c>
      <c r="O22" s="297">
        <f t="shared" si="2"/>
        <v>2544</v>
      </c>
      <c r="P22" s="297">
        <f t="shared" si="2"/>
        <v>2544</v>
      </c>
      <c r="Q22" s="297">
        <f t="shared" si="2"/>
        <v>2544</v>
      </c>
    </row>
    <row r="23" ht="14.25" customHeight="1" spans="2:17">
      <c r="B23" s="125" t="str">
        <f>'BS Input'!B21</f>
        <v>Loans</v>
      </c>
      <c r="C23" s="296" t="str">
        <f>'BS Input'!C21</f>
        <v>–</v>
      </c>
      <c r="D23" s="296" t="str">
        <f>'BS Input'!D21</f>
        <v>–</v>
      </c>
      <c r="E23" s="296" t="str">
        <f>'BS Input'!E21</f>
        <v>-</v>
      </c>
      <c r="F23" s="296">
        <f>'BS Input'!F21</f>
        <v>865</v>
      </c>
      <c r="G23" s="296" t="str">
        <f>'BS Input'!G21</f>
        <v>–</v>
      </c>
      <c r="H23" s="297" t="str">
        <f t="shared" ref="H23:Q23" si="3">G23</f>
        <v>–</v>
      </c>
      <c r="I23" s="297" t="str">
        <f t="shared" si="3"/>
        <v>–</v>
      </c>
      <c r="J23" s="297" t="str">
        <f t="shared" si="3"/>
        <v>–</v>
      </c>
      <c r="K23" s="297" t="str">
        <f t="shared" si="3"/>
        <v>–</v>
      </c>
      <c r="L23" s="297" t="str">
        <f t="shared" si="3"/>
        <v>–</v>
      </c>
      <c r="M23" s="297" t="str">
        <f t="shared" si="3"/>
        <v>–</v>
      </c>
      <c r="N23" s="297" t="str">
        <f t="shared" si="3"/>
        <v>–</v>
      </c>
      <c r="O23" s="297" t="str">
        <f t="shared" si="3"/>
        <v>–</v>
      </c>
      <c r="P23" s="297" t="str">
        <f t="shared" si="3"/>
        <v>–</v>
      </c>
      <c r="Q23" s="297" t="str">
        <f t="shared" si="3"/>
        <v>–</v>
      </c>
    </row>
    <row r="24" ht="14.25" customHeight="1" spans="2:17">
      <c r="B24" s="125" t="str">
        <f>'BS Input'!B22</f>
        <v>Other Financial Assets</v>
      </c>
      <c r="C24" s="296">
        <f>'BS Input'!C22</f>
        <v>22515</v>
      </c>
      <c r="D24" s="296">
        <f>'BS Input'!D22</f>
        <v>25963</v>
      </c>
      <c r="E24" s="296">
        <f>'BS Input'!E22</f>
        <v>26557</v>
      </c>
      <c r="F24" s="296">
        <f>'BS Input'!F22</f>
        <v>37471</v>
      </c>
      <c r="G24" s="296">
        <f>'BS Input'!G22</f>
        <v>35700</v>
      </c>
      <c r="H24" s="297">
        <f>'BS items'!I17</f>
        <v>47912.0300912062</v>
      </c>
      <c r="I24" s="297">
        <f>'BS items'!J17</f>
        <v>53942.6641516636</v>
      </c>
      <c r="J24" s="297">
        <f>'BS items'!K17</f>
        <v>60173.5680110532</v>
      </c>
      <c r="K24" s="297">
        <f>'BS items'!L17</f>
        <v>66501.5200005428</v>
      </c>
      <c r="L24" s="297">
        <f>'BS items'!M17</f>
        <v>72807.8988209989</v>
      </c>
      <c r="M24" s="297">
        <f>'BS items'!N17</f>
        <v>78961.8451606669</v>
      </c>
      <c r="N24" s="297">
        <f>'BS items'!O17</f>
        <v>84824.4469568293</v>
      </c>
      <c r="O24" s="297">
        <f>'BS items'!P17</f>
        <v>90253.7965847265</v>
      </c>
      <c r="P24" s="297">
        <f>'BS items'!Q17</f>
        <v>95110.6834524244</v>
      </c>
      <c r="Q24" s="297">
        <f>'BS items'!R17</f>
        <v>99264.6116852334</v>
      </c>
    </row>
    <row r="25" ht="14.25" customHeight="1" spans="2:17">
      <c r="B25" s="125" t="str">
        <f>'BS Input'!B23</f>
        <v>Income Tax Assets (Net)</v>
      </c>
      <c r="C25" s="296">
        <f>'BS Input'!C23</f>
        <v>17479</v>
      </c>
      <c r="D25" s="296">
        <f>'BS Input'!D23</f>
        <v>20399</v>
      </c>
      <c r="E25" s="296">
        <f>'BS Input'!E23</f>
        <v>14135</v>
      </c>
      <c r="F25" s="296">
        <f>'BS Input'!F23</f>
        <v>24978</v>
      </c>
      <c r="G25" s="296">
        <f>'BS Input'!G23</f>
        <v>20181</v>
      </c>
      <c r="H25" s="297">
        <f>'BS items'!I19</f>
        <v>32064.5666545026</v>
      </c>
      <c r="I25" s="297">
        <f>'BS items'!J19</f>
        <v>36100.4980778288</v>
      </c>
      <c r="J25" s="297">
        <f>'BS items'!K19</f>
        <v>40270.4577254762</v>
      </c>
      <c r="K25" s="297">
        <f>'BS items'!L19</f>
        <v>44505.365700931</v>
      </c>
      <c r="L25" s="297">
        <f>'BS items'!M19</f>
        <v>48725.8360849269</v>
      </c>
      <c r="M25" s="297">
        <f>'BS items'!N19</f>
        <v>52844.2928111581</v>
      </c>
      <c r="N25" s="297">
        <f>'BS items'!O19</f>
        <v>56767.7706037711</v>
      </c>
      <c r="O25" s="297">
        <f>'BS items'!P19</f>
        <v>60401.2994419963</v>
      </c>
      <c r="P25" s="297">
        <f>'BS items'!Q19</f>
        <v>63651.7142627881</v>
      </c>
      <c r="Q25" s="297">
        <f>'BS items'!R19</f>
        <v>66431.6822258523</v>
      </c>
    </row>
    <row r="26" ht="14.25" customHeight="1" spans="2:17">
      <c r="B26" s="125" t="str">
        <f>'BS Input'!B24</f>
        <v>Deferred Tax Assets (Net)</v>
      </c>
      <c r="C26" s="296">
        <f>'BS Input'!C24</f>
        <v>199250</v>
      </c>
      <c r="D26" s="296">
        <f>'BS Input'!D24</f>
        <v>189519</v>
      </c>
      <c r="E26" s="296">
        <f>'BS Input'!E24</f>
        <v>192428</v>
      </c>
      <c r="F26" s="296">
        <f>'BS Input'!F24</f>
        <v>249111</v>
      </c>
      <c r="G26" s="296">
        <f>'BS Input'!G24</f>
        <v>191413</v>
      </c>
      <c r="H26" s="297">
        <f>'BS items'!I21</f>
        <v>340634.661615645</v>
      </c>
      <c r="I26" s="297">
        <f>'BS items'!J21</f>
        <v>383509.968477016</v>
      </c>
      <c r="J26" s="297">
        <f>'BS items'!K21</f>
        <v>427809.110543475</v>
      </c>
      <c r="K26" s="297">
        <f>'BS items'!L21</f>
        <v>472798.224562576</v>
      </c>
      <c r="L26" s="297">
        <f>'BS items'!M21</f>
        <v>517633.962297688</v>
      </c>
      <c r="M26" s="297">
        <f>'BS items'!N21</f>
        <v>561385.968318372</v>
      </c>
      <c r="N26" s="297">
        <f>'BS items'!O21</f>
        <v>603066.635474857</v>
      </c>
      <c r="O26" s="297">
        <f>'BS items'!P21</f>
        <v>641667.059413713</v>
      </c>
      <c r="P26" s="297">
        <f>'BS items'!Q21</f>
        <v>676197.51056626</v>
      </c>
      <c r="Q26" s="297">
        <f>'BS items'!R21</f>
        <v>705730.217388847</v>
      </c>
    </row>
    <row r="27" ht="14.25" customHeight="1" spans="2:17">
      <c r="B27" s="125" t="str">
        <f>'BS Input'!B25</f>
        <v>Other Non-current Assets</v>
      </c>
      <c r="C27" s="296">
        <f>'BS Input'!C25</f>
        <v>91562</v>
      </c>
      <c r="D27" s="296">
        <f>'BS Input'!D25</f>
        <v>103898</v>
      </c>
      <c r="E27" s="296">
        <f>'BS Input'!E25</f>
        <v>112159</v>
      </c>
      <c r="F27" s="296">
        <f>'BS Input'!F25</f>
        <v>116638</v>
      </c>
      <c r="G27" s="296">
        <f>'BS Input'!G25</f>
        <v>124770</v>
      </c>
      <c r="H27" s="297">
        <f>'BS items'!I23</f>
        <v>239429.281412753</v>
      </c>
      <c r="I27" s="297">
        <f>'BS items'!J23</f>
        <v>269565.979373786</v>
      </c>
      <c r="J27" s="297">
        <f>'BS items'!K23</f>
        <v>300703.479303672</v>
      </c>
      <c r="K27" s="297">
        <f>'BS items'!L23</f>
        <v>332325.954802492</v>
      </c>
      <c r="L27" s="297">
        <f>'BS items'!M23</f>
        <v>363840.623382055</v>
      </c>
      <c r="M27" s="297">
        <f>'BS items'!N23</f>
        <v>394593.545918514</v>
      </c>
      <c r="N27" s="297">
        <f>'BS items'!O23</f>
        <v>423890.541528848</v>
      </c>
      <c r="O27" s="297">
        <f>'BS items'!P23</f>
        <v>451022.459702038</v>
      </c>
      <c r="P27" s="297">
        <f>'BS items'!Q23</f>
        <v>475293.627724396</v>
      </c>
      <c r="Q27" s="297">
        <f>'BS items'!R23</f>
        <v>496051.922664693</v>
      </c>
    </row>
    <row r="28" ht="14.25" customHeight="1" spans="2:17">
      <c r="B28" s="293" t="str">
        <f>'BS Input'!B26</f>
        <v>Total Non-current Assets</v>
      </c>
      <c r="C28" s="299">
        <f t="shared" ref="C28:Q28" si="4">SUM(C12:C27)</f>
        <v>3116281</v>
      </c>
      <c r="D28" s="299">
        <f t="shared" si="4"/>
        <v>3891319</v>
      </c>
      <c r="E28" s="299">
        <f t="shared" si="4"/>
        <v>3862549</v>
      </c>
      <c r="F28" s="299">
        <f t="shared" si="4"/>
        <v>4467716</v>
      </c>
      <c r="G28" s="299">
        <f t="shared" si="4"/>
        <v>4619362</v>
      </c>
      <c r="H28" s="300">
        <f t="shared" si="4"/>
        <v>5747918.19268563</v>
      </c>
      <c r="I28" s="300">
        <f t="shared" si="4"/>
        <v>6410271.04728204</v>
      </c>
      <c r="J28" s="300">
        <f t="shared" si="4"/>
        <v>7076881.04417983</v>
      </c>
      <c r="K28" s="300">
        <f t="shared" si="4"/>
        <v>7950843.27666115</v>
      </c>
      <c r="L28" s="300">
        <f t="shared" si="4"/>
        <v>8824346.9275143</v>
      </c>
      <c r="M28" s="300">
        <f t="shared" si="4"/>
        <v>9694610.31565421</v>
      </c>
      <c r="N28" s="300">
        <f t="shared" si="4"/>
        <v>10846085.5743797</v>
      </c>
      <c r="O28" s="300">
        <f t="shared" si="4"/>
        <v>11988351.1762196</v>
      </c>
      <c r="P28" s="300">
        <f t="shared" si="4"/>
        <v>13118447.9166266</v>
      </c>
      <c r="Q28" s="300">
        <f t="shared" si="4"/>
        <v>14635968.8289104</v>
      </c>
    </row>
    <row r="29" ht="14.25" customHeight="1" spans="2:17">
      <c r="B29" s="295" t="str">
        <f>'BS Input'!B27</f>
        <v>Current Assets</v>
      </c>
      <c r="C29" s="296"/>
      <c r="D29" s="296"/>
      <c r="E29" s="296"/>
      <c r="F29" s="296"/>
      <c r="G29" s="296"/>
      <c r="H29" s="297"/>
      <c r="I29" s="297"/>
      <c r="J29" s="297"/>
      <c r="K29" s="297"/>
      <c r="L29" s="297"/>
      <c r="M29" s="297"/>
      <c r="N29" s="297"/>
      <c r="O29" s="297"/>
      <c r="P29" s="297"/>
      <c r="Q29" s="297"/>
    </row>
    <row r="30" ht="14.25" customHeight="1" spans="2:17">
      <c r="B30" s="125" t="str">
        <f>'BS Input'!B28</f>
        <v>Inventories</v>
      </c>
      <c r="C30" s="296">
        <f>'BS Input'!C28</f>
        <v>3750</v>
      </c>
      <c r="D30" s="296">
        <f>'BS Input'!D28</f>
        <v>2576</v>
      </c>
      <c r="E30" s="296">
        <f>'BS Input'!E28</f>
        <v>3639</v>
      </c>
      <c r="F30" s="296">
        <f>'BS Input'!F28</f>
        <v>4517</v>
      </c>
      <c r="G30" s="296">
        <f>'BS Input'!G28</f>
        <v>6009</v>
      </c>
      <c r="H30" s="297">
        <f>'Working Capital'!H13</f>
        <v>6527.80560752887</v>
      </c>
      <c r="I30" s="297">
        <f>'Working Capital'!I13</f>
        <v>7349.45325555942</v>
      </c>
      <c r="J30" s="297">
        <f>'Working Capital'!J13</f>
        <v>8198.38679220708</v>
      </c>
      <c r="K30" s="297">
        <f>'Working Capital'!K13</f>
        <v>9060.54271426945</v>
      </c>
      <c r="L30" s="297">
        <f>'Working Capital'!L13</f>
        <v>9919.75938592808</v>
      </c>
      <c r="M30" s="297">
        <f>'Working Capital'!M13</f>
        <v>10758.2077953995</v>
      </c>
      <c r="N30" s="297">
        <f>'Working Capital'!N13</f>
        <v>11556.9617786234</v>
      </c>
      <c r="O30" s="297">
        <f>'Working Capital'!O13</f>
        <v>12296.687039247</v>
      </c>
      <c r="P30" s="297">
        <f>'Working Capital'!P13</f>
        <v>12958.4167399034</v>
      </c>
      <c r="Q30" s="297">
        <f>'Working Capital'!Q13</f>
        <v>13524.3713855275</v>
      </c>
    </row>
    <row r="31" ht="14.25" customHeight="1" spans="2:17">
      <c r="B31" s="125" t="str">
        <f>'BS Input'!B29</f>
        <v>Investments</v>
      </c>
      <c r="C31" s="296">
        <f>'BS Input'!C29</f>
        <v>8614</v>
      </c>
      <c r="D31" s="296">
        <f>'BS Input'!D29</f>
        <v>47045</v>
      </c>
      <c r="E31" s="296">
        <f>'BS Input'!E29</f>
        <v>2695</v>
      </c>
      <c r="F31" s="296">
        <f>'BS Input'!F29</f>
        <v>16532</v>
      </c>
      <c r="G31" s="296">
        <f>'BS Input'!G29</f>
        <v>137006</v>
      </c>
      <c r="H31" s="297">
        <f>'BS items'!I26</f>
        <v>8936.07309918952</v>
      </c>
      <c r="I31" s="297">
        <f>'BS items'!J26</f>
        <v>10060.8467039841</v>
      </c>
      <c r="J31" s="297">
        <f>'BS items'!K26</f>
        <v>11222.9726305109</v>
      </c>
      <c r="K31" s="297">
        <f>'BS items'!L26</f>
        <v>12403.1990045259</v>
      </c>
      <c r="L31" s="297">
        <f>'BS items'!M26</f>
        <v>13579.4017666193</v>
      </c>
      <c r="M31" s="297">
        <f>'BS items'!N26</f>
        <v>14727.1743455536</v>
      </c>
      <c r="N31" s="297">
        <f>'BS items'!O26</f>
        <v>15820.6082514478</v>
      </c>
      <c r="O31" s="297">
        <f>'BS items'!P26</f>
        <v>16833.2362921213</v>
      </c>
      <c r="P31" s="297">
        <f>'BS items'!Q26</f>
        <v>17739.0942990064</v>
      </c>
      <c r="Q31" s="297">
        <f>'BS items'!R26</f>
        <v>18513.8434855157</v>
      </c>
    </row>
    <row r="32" ht="14.25" customHeight="1" spans="2:17">
      <c r="B32" s="125" t="str">
        <f>'BS Input'!B30</f>
        <v>Derivative Instruments</v>
      </c>
      <c r="C32" s="296">
        <f>'BS Input'!C30</f>
        <v>561</v>
      </c>
      <c r="D32" s="296">
        <f>'BS Input'!D30</f>
        <v>1283</v>
      </c>
      <c r="E32" s="296">
        <f>'BS Input'!E30</f>
        <v>1168</v>
      </c>
      <c r="F32" s="296">
        <f>'BS Input'!F30</f>
        <v>813</v>
      </c>
      <c r="G32" s="296">
        <f>'BS Input'!G30</f>
        <v>5040</v>
      </c>
      <c r="H32" s="297">
        <f t="shared" ref="H32:Q32" si="5">G32</f>
        <v>5040</v>
      </c>
      <c r="I32" s="297">
        <f t="shared" si="5"/>
        <v>5040</v>
      </c>
      <c r="J32" s="297">
        <f t="shared" si="5"/>
        <v>5040</v>
      </c>
      <c r="K32" s="297">
        <f t="shared" si="5"/>
        <v>5040</v>
      </c>
      <c r="L32" s="297">
        <f t="shared" si="5"/>
        <v>5040</v>
      </c>
      <c r="M32" s="297">
        <f t="shared" si="5"/>
        <v>5040</v>
      </c>
      <c r="N32" s="297">
        <f t="shared" si="5"/>
        <v>5040</v>
      </c>
      <c r="O32" s="297">
        <f t="shared" si="5"/>
        <v>5040</v>
      </c>
      <c r="P32" s="297">
        <f t="shared" si="5"/>
        <v>5040</v>
      </c>
      <c r="Q32" s="297">
        <f t="shared" si="5"/>
        <v>5040</v>
      </c>
    </row>
    <row r="33" ht="14.25" customHeight="1" spans="1:17">
      <c r="B33" s="125" t="str">
        <f>'BS Input'!B31</f>
        <v>Trade Receivables</v>
      </c>
      <c r="C33" s="296">
        <f>'BS Input'!C31</f>
        <v>40562</v>
      </c>
      <c r="D33" s="296">
        <f>'BS Input'!D31</f>
        <v>39815</v>
      </c>
      <c r="E33" s="296">
        <f>'BS Input'!E31</f>
        <v>47277</v>
      </c>
      <c r="F33" s="296">
        <f>'BS Input'!F31</f>
        <v>74557</v>
      </c>
      <c r="G33" s="296">
        <f>'BS Input'!G31</f>
        <v>79776</v>
      </c>
      <c r="H33" s="301">
        <f>'Working Capital'!H11</f>
        <v>88597.8884707554</v>
      </c>
      <c r="I33" s="301">
        <f>'Working Capital'!I11</f>
        <v>99749.6063770775</v>
      </c>
      <c r="J33" s="301">
        <f>'Working Capital'!J11</f>
        <v>111271.65885858</v>
      </c>
      <c r="K33" s="301">
        <f>'Working Capital'!K11</f>
        <v>122973.170640607</v>
      </c>
      <c r="L33" s="301">
        <f>'Working Capital'!L11</f>
        <v>134634.789785642</v>
      </c>
      <c r="M33" s="301">
        <f>'Working Capital'!M11</f>
        <v>146014.534088253</v>
      </c>
      <c r="N33" s="297">
        <f>'Working Capital'!N11</f>
        <v>156855.530370316</v>
      </c>
      <c r="O33" s="297">
        <f>'Working Capital'!O11</f>
        <v>166895.36612525</v>
      </c>
      <c r="P33" s="297">
        <f>'Working Capital'!P11</f>
        <v>175876.616141169</v>
      </c>
      <c r="Q33" s="297">
        <f>'Working Capital'!Q11</f>
        <v>183557.970272592</v>
      </c>
    </row>
    <row r="34" ht="12" customHeight="1" spans="1:17">
      <c r="A34" s="302"/>
      <c r="B34" s="303" t="str">
        <f>'BS Input'!B32</f>
        <v>Cash &amp; Cash Equivalents</v>
      </c>
      <c r="C34" s="304">
        <f>'BS Input'!C32</f>
        <v>60959</v>
      </c>
      <c r="D34" s="304">
        <f>'BS Input'!D32</f>
        <v>71794</v>
      </c>
      <c r="E34" s="304">
        <f>'BS Input'!E32</f>
        <v>69155</v>
      </c>
      <c r="F34" s="304">
        <f>'BS Input'!F32</f>
        <v>61056</v>
      </c>
      <c r="G34" s="304">
        <f>'BS Input'!G32</f>
        <v>137222</v>
      </c>
      <c r="H34" s="305">
        <f>'Cash Flows'!H80</f>
        <v>204488.096400232</v>
      </c>
      <c r="I34" s="305">
        <f>'Cash Flows'!I80</f>
        <v>363384.451647218</v>
      </c>
      <c r="J34" s="305">
        <f>'Cash Flows'!J80</f>
        <v>601744.342897059</v>
      </c>
      <c r="K34" s="305">
        <f>'Cash Flows'!K80</f>
        <v>723167.206320175</v>
      </c>
      <c r="L34" s="305">
        <f>'Cash Flows'!L80</f>
        <v>884335.787002474</v>
      </c>
      <c r="M34" s="301">
        <f>'Cash Flows'!M80</f>
        <v>1091578.07182034</v>
      </c>
      <c r="N34" s="297">
        <f>'Cash Flows'!N80</f>
        <v>1025308.35838375</v>
      </c>
      <c r="O34" s="297">
        <f>'Cash Flows'!O80</f>
        <v>956840.063795222</v>
      </c>
      <c r="P34" s="297">
        <f>'Cash Flows'!P80</f>
        <v>849987.134044305</v>
      </c>
      <c r="Q34" s="297">
        <f>'Cash Flows'!Q80</f>
        <v>271857.878278449</v>
      </c>
    </row>
    <row r="35" ht="14.25" customHeight="1" spans="1:17">
      <c r="A35" s="302"/>
      <c r="B35" s="303" t="str">
        <f>'BS Input'!B33</f>
        <v>Other Bank Balances</v>
      </c>
      <c r="C35" s="304">
        <f>'BS Input'!C33</f>
        <v>73984</v>
      </c>
      <c r="D35" s="304">
        <f>'BS Input'!D33</f>
        <v>62392</v>
      </c>
      <c r="E35" s="304">
        <f>'BS Input'!E33</f>
        <v>94244</v>
      </c>
      <c r="F35" s="304">
        <f>'BS Input'!F33</f>
        <v>106143</v>
      </c>
      <c r="G35" s="304">
        <f>'BS Input'!G33</f>
        <v>166546</v>
      </c>
      <c r="H35" s="305">
        <f t="shared" ref="H35:Q35" si="6">G35</f>
        <v>166546</v>
      </c>
      <c r="I35" s="305">
        <f t="shared" si="6"/>
        <v>166546</v>
      </c>
      <c r="J35" s="305">
        <f t="shared" si="6"/>
        <v>166546</v>
      </c>
      <c r="K35" s="305">
        <f t="shared" si="6"/>
        <v>166546</v>
      </c>
      <c r="L35" s="305">
        <f t="shared" si="6"/>
        <v>166546</v>
      </c>
      <c r="M35" s="301">
        <f t="shared" si="6"/>
        <v>166546</v>
      </c>
      <c r="N35" s="297">
        <f t="shared" si="6"/>
        <v>166546</v>
      </c>
      <c r="O35" s="297">
        <f t="shared" si="6"/>
        <v>166546</v>
      </c>
      <c r="P35" s="297">
        <f t="shared" si="6"/>
        <v>166546</v>
      </c>
      <c r="Q35" s="297">
        <f t="shared" si="6"/>
        <v>166546</v>
      </c>
    </row>
    <row r="36" ht="14.25" customHeight="1" spans="1:17">
      <c r="B36" s="125" t="str">
        <f>'BS Input'!B34</f>
        <v>Other Financial Assets</v>
      </c>
      <c r="C36" s="296">
        <f>'BS Input'!C34</f>
        <v>214697</v>
      </c>
      <c r="D36" s="296">
        <f>'BS Input'!D34</f>
        <v>220865</v>
      </c>
      <c r="E36" s="296">
        <f>'BS Input'!E34</f>
        <v>249544</v>
      </c>
      <c r="F36" s="296">
        <f>'BS Input'!F34</f>
        <v>267662</v>
      </c>
      <c r="G36" s="296">
        <f>'BS Input'!G34</f>
        <v>244264</v>
      </c>
      <c r="H36" s="301">
        <f>'BS items'!I28</f>
        <v>396359.284064868</v>
      </c>
      <c r="I36" s="301">
        <f>'BS items'!J28</f>
        <v>446248.587317306</v>
      </c>
      <c r="J36" s="301">
        <f>'BS items'!K28</f>
        <v>497794.651804312</v>
      </c>
      <c r="K36" s="301">
        <f>'BS items'!L28</f>
        <v>550143.561157066</v>
      </c>
      <c r="L36" s="301">
        <f>'BS items'!M28</f>
        <v>602314.003310311</v>
      </c>
      <c r="M36" s="301">
        <f>'BS items'!N28</f>
        <v>653223.425447532</v>
      </c>
      <c r="N36" s="297">
        <f>'BS items'!O28</f>
        <v>701722.65719081</v>
      </c>
      <c r="O36" s="297">
        <f>'BS items'!P28</f>
        <v>746637.746936635</v>
      </c>
      <c r="P36" s="297">
        <f>'BS items'!Q28</f>
        <v>786817.054680436</v>
      </c>
      <c r="Q36" s="297">
        <f>'BS items'!R28</f>
        <v>821181.034192028</v>
      </c>
    </row>
    <row r="37" ht="14.25" customHeight="1" spans="1:17">
      <c r="B37" s="125" t="str">
        <f>'BS Input'!B35</f>
        <v>Other Current Assets</v>
      </c>
      <c r="C37" s="296">
        <f>'BS Input'!C35</f>
        <v>117152</v>
      </c>
      <c r="D37" s="296">
        <f>'BS Input'!D35</f>
        <v>129243</v>
      </c>
      <c r="E37" s="296">
        <f>'BS Input'!E35</f>
        <v>115039</v>
      </c>
      <c r="F37" s="296">
        <f>'BS Input'!F35</f>
        <v>144608</v>
      </c>
      <c r="G37" s="296">
        <f>'BS Input'!G35</f>
        <v>125718</v>
      </c>
      <c r="H37" s="301">
        <f>'BS items'!I30</f>
        <v>210057.946315046</v>
      </c>
      <c r="I37" s="301">
        <f>'BS items'!J30</f>
        <v>236497.706920175</v>
      </c>
      <c r="J37" s="301">
        <f>'BS items'!K30</f>
        <v>263815.498837953</v>
      </c>
      <c r="K37" s="301">
        <f>'BS items'!L30</f>
        <v>291558.773267403</v>
      </c>
      <c r="L37" s="301">
        <f>'BS items'!M30</f>
        <v>319207.465697842</v>
      </c>
      <c r="M37" s="301">
        <f>'BS items'!N30</f>
        <v>346187.857206674</v>
      </c>
      <c r="N37" s="297">
        <f>'BS items'!O30</f>
        <v>371890.923660349</v>
      </c>
      <c r="O37" s="297">
        <f>'BS items'!P30</f>
        <v>395694.507655671</v>
      </c>
      <c r="P37" s="297">
        <f>'BS items'!Q30</f>
        <v>416988.27623469</v>
      </c>
      <c r="Q37" s="297">
        <f>'BS items'!R30</f>
        <v>435200.103870942</v>
      </c>
    </row>
    <row r="38" ht="14.25" customHeight="1" spans="1:17">
      <c r="B38" s="125" t="str">
        <f>'BS Input'!B36</f>
        <v>Assets Held for Sale</v>
      </c>
      <c r="C38" s="296" t="str">
        <f>'BS Input'!C36</f>
        <v>–</v>
      </c>
      <c r="D38" s="296" t="str">
        <f>'BS Input'!D36</f>
        <v>–</v>
      </c>
      <c r="E38" s="296" t="str">
        <f>'BS Input'!E36</f>
        <v>–</v>
      </c>
      <c r="F38" s="296" t="str">
        <f>'BS Input'!F36</f>
        <v>–</v>
      </c>
      <c r="G38" s="296">
        <f>'BS Input'!G36</f>
        <v>573</v>
      </c>
      <c r="H38" s="297" t="s">
        <v>109</v>
      </c>
      <c r="I38" s="297" t="s">
        <v>109</v>
      </c>
      <c r="J38" s="297" t="s">
        <v>109</v>
      </c>
      <c r="K38" s="297" t="s">
        <v>109</v>
      </c>
      <c r="L38" s="297" t="s">
        <v>109</v>
      </c>
      <c r="M38" s="297" t="s">
        <v>109</v>
      </c>
      <c r="N38" s="297" t="s">
        <v>109</v>
      </c>
      <c r="O38" s="297" t="s">
        <v>109</v>
      </c>
      <c r="P38" s="297" t="s">
        <v>109</v>
      </c>
      <c r="Q38" s="297" t="s">
        <v>109</v>
      </c>
    </row>
    <row r="39" ht="14.25" customHeight="1" spans="1:17">
      <c r="B39" s="293" t="str">
        <f>'BS Input'!B37</f>
        <v>Total Current Assets</v>
      </c>
      <c r="C39" s="306">
        <f t="shared" ref="C39:Q39" si="7">SUM(C30:C38)</f>
        <v>520279</v>
      </c>
      <c r="D39" s="306">
        <f t="shared" si="7"/>
        <v>575013</v>
      </c>
      <c r="E39" s="306">
        <f t="shared" si="7"/>
        <v>582761</v>
      </c>
      <c r="F39" s="306">
        <f t="shared" si="7"/>
        <v>675888</v>
      </c>
      <c r="G39" s="306">
        <f t="shared" si="7"/>
        <v>902154</v>
      </c>
      <c r="H39" s="307">
        <f t="shared" si="7"/>
        <v>1086553.09395762</v>
      </c>
      <c r="I39" s="307">
        <f t="shared" si="7"/>
        <v>1334876.65222132</v>
      </c>
      <c r="J39" s="307">
        <f t="shared" si="7"/>
        <v>1665633.51182062</v>
      </c>
      <c r="K39" s="307">
        <f t="shared" si="7"/>
        <v>1880892.45310405</v>
      </c>
      <c r="L39" s="307">
        <f t="shared" si="7"/>
        <v>2135577.20694882</v>
      </c>
      <c r="M39" s="307">
        <f t="shared" si="7"/>
        <v>2434075.27070376</v>
      </c>
      <c r="N39" s="307">
        <f t="shared" si="7"/>
        <v>2454741.0396353</v>
      </c>
      <c r="O39" s="307">
        <f t="shared" si="7"/>
        <v>2466783.60784415</v>
      </c>
      <c r="P39" s="307">
        <f t="shared" si="7"/>
        <v>2431952.59213951</v>
      </c>
      <c r="Q39" s="307">
        <f t="shared" si="7"/>
        <v>1915421.20148505</v>
      </c>
    </row>
    <row r="40" ht="14.25" customHeight="1" spans="1:17">
      <c r="B40" s="293" t="str">
        <f>'BS Input'!B38</f>
        <v>TOTAL ASSETS</v>
      </c>
      <c r="C40" s="308">
        <f t="shared" ref="C40:Q40" si="8">SUM(C28,C39)</f>
        <v>3636560</v>
      </c>
      <c r="D40" s="308">
        <f t="shared" si="8"/>
        <v>4466332</v>
      </c>
      <c r="E40" s="308">
        <f t="shared" si="8"/>
        <v>4445310</v>
      </c>
      <c r="F40" s="308">
        <f t="shared" si="8"/>
        <v>5143604</v>
      </c>
      <c r="G40" s="308">
        <f t="shared" si="8"/>
        <v>5521516</v>
      </c>
      <c r="H40" s="309">
        <f t="shared" si="8"/>
        <v>6834471.28664325</v>
      </c>
      <c r="I40" s="309">
        <f t="shared" si="8"/>
        <v>7745147.69950336</v>
      </c>
      <c r="J40" s="309">
        <f t="shared" si="8"/>
        <v>8742514.55600045</v>
      </c>
      <c r="K40" s="309">
        <f t="shared" si="8"/>
        <v>9831735.7297652</v>
      </c>
      <c r="L40" s="309">
        <f t="shared" si="8"/>
        <v>10959924.1344631</v>
      </c>
      <c r="M40" s="309">
        <f t="shared" si="8"/>
        <v>12128685.586358</v>
      </c>
      <c r="N40" s="309">
        <f t="shared" si="8"/>
        <v>13300826.614015</v>
      </c>
      <c r="O40" s="309">
        <f t="shared" si="8"/>
        <v>14455134.7840638</v>
      </c>
      <c r="P40" s="309">
        <f t="shared" si="8"/>
        <v>15550400.5087662</v>
      </c>
      <c r="Q40" s="309">
        <f t="shared" si="8"/>
        <v>16551390.0303954</v>
      </c>
    </row>
    <row r="41" ht="14.25" customHeight="1" spans="1:17">
      <c r="B41" s="125"/>
      <c r="H41" s="297"/>
      <c r="I41" s="297"/>
      <c r="J41" s="297"/>
      <c r="K41" s="297"/>
      <c r="L41" s="297"/>
      <c r="M41" s="297"/>
      <c r="N41" s="297"/>
      <c r="O41" s="297"/>
      <c r="P41" s="297"/>
      <c r="Q41" s="297"/>
    </row>
    <row r="42" ht="14.25" customHeight="1" spans="1:17">
      <c r="B42" s="310" t="str">
        <f>'BS Input'!B40</f>
        <v>EQUITY &amp; LIABILITIES</v>
      </c>
      <c r="H42" s="297"/>
      <c r="I42" s="297"/>
      <c r="J42" s="297"/>
      <c r="K42" s="297"/>
      <c r="L42" s="297"/>
      <c r="M42" s="297"/>
      <c r="N42" s="297"/>
      <c r="O42" s="297"/>
      <c r="P42" s="297"/>
      <c r="Q42" s="297"/>
    </row>
    <row r="43" ht="14.25" customHeight="1" spans="1:17">
      <c r="B43" s="125" t="str">
        <f>'BS Input'!B41</f>
        <v>Share Capital</v>
      </c>
      <c r="C43" s="296">
        <f>'BS Input'!C41</f>
        <v>27950</v>
      </c>
      <c r="D43" s="296">
        <f>'BS Input'!D41</f>
        <v>28366</v>
      </c>
      <c r="E43" s="296">
        <f>'BS Input'!E41</f>
        <v>28766</v>
      </c>
      <c r="F43" s="296">
        <f>'BS Input'!F41</f>
        <v>29001</v>
      </c>
      <c r="G43" s="296">
        <f>'BS Input'!G41</f>
        <v>30468</v>
      </c>
      <c r="H43" s="297">
        <f t="shared" ref="H43:Q43" si="9">G43</f>
        <v>30468</v>
      </c>
      <c r="I43" s="297">
        <f t="shared" si="9"/>
        <v>30468</v>
      </c>
      <c r="J43" s="297">
        <f t="shared" si="9"/>
        <v>30468</v>
      </c>
      <c r="K43" s="297">
        <f t="shared" si="9"/>
        <v>30468</v>
      </c>
      <c r="L43" s="297">
        <f t="shared" si="9"/>
        <v>30468</v>
      </c>
      <c r="M43" s="297">
        <f t="shared" si="9"/>
        <v>30468</v>
      </c>
      <c r="N43" s="297">
        <f t="shared" si="9"/>
        <v>30468</v>
      </c>
      <c r="O43" s="297">
        <f t="shared" si="9"/>
        <v>30468</v>
      </c>
      <c r="P43" s="297">
        <f t="shared" si="9"/>
        <v>30468</v>
      </c>
      <c r="Q43" s="297">
        <f t="shared" si="9"/>
        <v>30468</v>
      </c>
    </row>
    <row r="44" ht="14.25" customHeight="1" spans="1:17">
      <c r="B44" s="125" t="str">
        <f>'BS Input'!B42</f>
        <v>Other Equity</v>
      </c>
      <c r="C44" s="296">
        <f>'BS Input'!C42</f>
        <v>637593</v>
      </c>
      <c r="D44" s="296">
        <f>'BS Input'!D42</f>
        <v>747263</v>
      </c>
      <c r="E44" s="296">
        <f>'BS Input'!E42</f>
        <v>791422</v>
      </c>
      <c r="F44" s="296">
        <f>'BS Input'!F42</f>
        <v>1107718</v>
      </c>
      <c r="G44" s="296">
        <f>'BS Input'!G42</f>
        <v>1460098</v>
      </c>
      <c r="H44" s="297">
        <f>G44+'Income Statement'!H42-'Income Statement'!H47</f>
        <v>1749614.02858348</v>
      </c>
      <c r="I44" s="297">
        <f>H44+'Income Statement'!I42-'Income Statement'!I47</f>
        <v>2103334.65868607</v>
      </c>
      <c r="J44" s="297">
        <f>I44+'Income Statement'!J42-'Income Statement'!J47</f>
        <v>2522611.99198005</v>
      </c>
      <c r="K44" s="297">
        <f>J44+'Income Statement'!K42-'Income Statement'!K47</f>
        <v>3030492.38106877</v>
      </c>
      <c r="L44" s="297">
        <f>K44+'Income Statement'!L42-'Income Statement'!L47</f>
        <v>3573021.37741015</v>
      </c>
      <c r="M44" s="297">
        <f>L44+'Income Statement'!M42-'Income Statement'!M47</f>
        <v>4172044.22666146</v>
      </c>
      <c r="N44" s="297">
        <f>M44+'Income Statement'!N42-'Income Statement'!N47</f>
        <v>4802109.62511737</v>
      </c>
      <c r="O44" s="297">
        <f>N44+'Income Statement'!O42-'Income Statement'!O47</f>
        <v>5454166.38312058</v>
      </c>
      <c r="P44" s="297">
        <f>O44+'Income Statement'!P42-'Income Statement'!P47</f>
        <v>6100668.93478148</v>
      </c>
      <c r="Q44" s="297">
        <f>P44+'Income Statement'!Q42-'Income Statement'!Q47</f>
        <v>6716821.05822298</v>
      </c>
    </row>
    <row r="45" ht="14.25" customHeight="1" spans="1:17">
      <c r="B45" s="293" t="str">
        <f>'BS Input'!B43</f>
        <v>Equity attributable to Owners</v>
      </c>
      <c r="C45" s="306">
        <f t="shared" ref="C45:Q45" si="10">SUM(C43:C44)</f>
        <v>665543</v>
      </c>
      <c r="D45" s="306">
        <f t="shared" si="10"/>
        <v>775629</v>
      </c>
      <c r="E45" s="306">
        <f t="shared" si="10"/>
        <v>820188</v>
      </c>
      <c r="F45" s="306">
        <f t="shared" si="10"/>
        <v>1136719</v>
      </c>
      <c r="G45" s="306">
        <f t="shared" si="10"/>
        <v>1490566</v>
      </c>
      <c r="H45" s="307">
        <f t="shared" si="10"/>
        <v>1780082.02858348</v>
      </c>
      <c r="I45" s="307">
        <f t="shared" si="10"/>
        <v>2133802.65868607</v>
      </c>
      <c r="J45" s="307">
        <f t="shared" si="10"/>
        <v>2553079.99198005</v>
      </c>
      <c r="K45" s="307">
        <f t="shared" si="10"/>
        <v>3060960.38106877</v>
      </c>
      <c r="L45" s="307">
        <f t="shared" si="10"/>
        <v>3603489.37741015</v>
      </c>
      <c r="M45" s="307">
        <f t="shared" si="10"/>
        <v>4202512.22666146</v>
      </c>
      <c r="N45" s="307">
        <f t="shared" si="10"/>
        <v>4832577.62511737</v>
      </c>
      <c r="O45" s="307">
        <f t="shared" si="10"/>
        <v>5484634.38312058</v>
      </c>
      <c r="P45" s="307">
        <f t="shared" si="10"/>
        <v>6131136.93478148</v>
      </c>
      <c r="Q45" s="307">
        <f t="shared" si="10"/>
        <v>6747289.05822298</v>
      </c>
    </row>
    <row r="46" ht="14.25" customHeight="1" spans="1:17">
      <c r="B46" s="125" t="str">
        <f>'BS Input'!B44</f>
        <v>Non-controlling Interests</v>
      </c>
      <c r="C46" s="296">
        <f>'BS Input'!C44</f>
        <v>253807</v>
      </c>
      <c r="D46" s="296">
        <f>'BS Input'!D44</f>
        <v>288814</v>
      </c>
      <c r="E46" s="296">
        <f>'BS Input'!E44</f>
        <v>235451</v>
      </c>
      <c r="F46" s="296">
        <f>'BS Input'!F44</f>
        <v>397958</v>
      </c>
      <c r="G46" s="296">
        <f>'BS Input'!G44</f>
        <v>469068</v>
      </c>
      <c r="H46" s="297">
        <f t="shared" ref="H46:Q46" si="11">G46</f>
        <v>469068</v>
      </c>
      <c r="I46" s="297">
        <f t="shared" si="11"/>
        <v>469068</v>
      </c>
      <c r="J46" s="297">
        <f t="shared" si="11"/>
        <v>469068</v>
      </c>
      <c r="K46" s="297">
        <f t="shared" si="11"/>
        <v>469068</v>
      </c>
      <c r="L46" s="297">
        <f t="shared" si="11"/>
        <v>469068</v>
      </c>
      <c r="M46" s="297">
        <f t="shared" si="11"/>
        <v>469068</v>
      </c>
      <c r="N46" s="297">
        <f t="shared" si="11"/>
        <v>469068</v>
      </c>
      <c r="O46" s="297">
        <f t="shared" si="11"/>
        <v>469068</v>
      </c>
      <c r="P46" s="297">
        <f t="shared" si="11"/>
        <v>469068</v>
      </c>
      <c r="Q46" s="297">
        <f t="shared" si="11"/>
        <v>469068</v>
      </c>
    </row>
    <row r="47" ht="14.25" customHeight="1" spans="1:17">
      <c r="B47" s="293" t="str">
        <f>'BS Input'!B45</f>
        <v>Total Equity</v>
      </c>
      <c r="C47" s="299">
        <f t="shared" ref="C47:Q47" si="12">SUM(C45:C46)</f>
        <v>919350</v>
      </c>
      <c r="D47" s="299">
        <f t="shared" si="12"/>
        <v>1064443</v>
      </c>
      <c r="E47" s="299">
        <f t="shared" si="12"/>
        <v>1055639</v>
      </c>
      <c r="F47" s="299">
        <f t="shared" si="12"/>
        <v>1534677</v>
      </c>
      <c r="G47" s="299">
        <f t="shared" si="12"/>
        <v>1959634</v>
      </c>
      <c r="H47" s="311">
        <f t="shared" si="12"/>
        <v>2249150.02858348</v>
      </c>
      <c r="I47" s="311">
        <f t="shared" si="12"/>
        <v>2602870.65868607</v>
      </c>
      <c r="J47" s="311">
        <f t="shared" si="12"/>
        <v>3022147.99198005</v>
      </c>
      <c r="K47" s="311">
        <f t="shared" si="12"/>
        <v>3530028.38106877</v>
      </c>
      <c r="L47" s="311">
        <f t="shared" si="12"/>
        <v>4072557.37741015</v>
      </c>
      <c r="M47" s="311">
        <f t="shared" si="12"/>
        <v>4671580.22666146</v>
      </c>
      <c r="N47" s="311">
        <f t="shared" si="12"/>
        <v>5301645.62511737</v>
      </c>
      <c r="O47" s="311">
        <f t="shared" si="12"/>
        <v>5953702.38312058</v>
      </c>
      <c r="P47" s="311">
        <f t="shared" si="12"/>
        <v>6600204.93478148</v>
      </c>
      <c r="Q47" s="311">
        <f t="shared" si="12"/>
        <v>7216357.05822298</v>
      </c>
    </row>
    <row r="48" ht="14.25" customHeight="1" spans="1:17">
      <c r="B48" s="295" t="str">
        <f>'BS Input'!B46</f>
        <v>Non-current liabilities</v>
      </c>
      <c r="C48" s="296"/>
      <c r="D48" s="296"/>
      <c r="E48" s="296"/>
      <c r="F48" s="296"/>
      <c r="G48" s="296"/>
      <c r="H48" s="297"/>
      <c r="I48" s="297"/>
      <c r="J48" s="297"/>
      <c r="K48" s="297"/>
      <c r="L48" s="297"/>
      <c r="M48" s="297"/>
      <c r="N48" s="297"/>
      <c r="O48" s="297"/>
      <c r="P48" s="297"/>
      <c r="Q48" s="297"/>
    </row>
    <row r="49" ht="14.25" customHeight="1" spans="2:17">
      <c r="B49" s="310" t="str">
        <f>'BS Input'!B47</f>
        <v>Financial liabilities</v>
      </c>
      <c r="C49" s="296"/>
      <c r="D49" s="296"/>
      <c r="E49" s="296"/>
      <c r="F49" s="296"/>
      <c r="G49" s="296"/>
      <c r="H49" s="297"/>
      <c r="I49" s="297"/>
      <c r="J49" s="297"/>
      <c r="K49" s="297"/>
      <c r="L49" s="297"/>
      <c r="M49" s="297"/>
      <c r="N49" s="297"/>
      <c r="O49" s="297"/>
      <c r="P49" s="297"/>
      <c r="Q49" s="297"/>
    </row>
    <row r="50" ht="14.25" customHeight="1" spans="2:17">
      <c r="B50" s="125" t="str">
        <f>'BS Input'!B48</f>
        <v>• Borrowings</v>
      </c>
      <c r="C50" s="296">
        <f>'BS Input'!C48</f>
        <v>1135350</v>
      </c>
      <c r="D50" s="296">
        <f>'BS Input'!D48</f>
        <v>1515686</v>
      </c>
      <c r="E50" s="296">
        <f>'BS Input'!E48</f>
        <v>1309626</v>
      </c>
      <c r="F50" s="296">
        <f>'BS Input'!F48</f>
        <v>1048638</v>
      </c>
      <c r="G50" s="296">
        <f>'BS Input'!G48</f>
        <v>1000849</v>
      </c>
      <c r="H50" s="297">
        <f>'BS items'!I36</f>
        <v>1205580.96671233</v>
      </c>
      <c r="I50" s="297">
        <f>'BS items'!J36</f>
        <v>1357326.10518078</v>
      </c>
      <c r="J50" s="297">
        <f>'BS items'!K36</f>
        <v>1514110.50951503</v>
      </c>
      <c r="K50" s="297">
        <f>'BS items'!L36</f>
        <v>1673336.87630174</v>
      </c>
      <c r="L50" s="297">
        <f>'BS items'!M36</f>
        <v>1832020.4106948</v>
      </c>
      <c r="M50" s="297">
        <f>'BS items'!N36</f>
        <v>1986868.38025797</v>
      </c>
      <c r="N50" s="297">
        <f>'BS items'!O36</f>
        <v>2134385.42613168</v>
      </c>
      <c r="O50" s="297">
        <f>'BS items'!P36</f>
        <v>2271000.81396975</v>
      </c>
      <c r="P50" s="297">
        <f>'BS items'!Q36</f>
        <v>2393211.67320543</v>
      </c>
      <c r="Q50" s="297">
        <f>'BS items'!R36</f>
        <v>2497734.41634593</v>
      </c>
    </row>
    <row r="51" ht="14.25" customHeight="1" spans="2:17">
      <c r="B51" s="125" t="str">
        <f>'BS Input'!B49</f>
        <v>• Lease liabilities</v>
      </c>
      <c r="C51" s="296">
        <f>'BS Input'!C49</f>
        <v>290562</v>
      </c>
      <c r="D51" s="296">
        <f>'BS Input'!D49</f>
        <v>508295</v>
      </c>
      <c r="E51" s="296">
        <f>'BS Input'!E49</f>
        <v>539271</v>
      </c>
      <c r="F51" s="296">
        <f>'BS Input'!F49</f>
        <v>556701</v>
      </c>
      <c r="G51" s="296">
        <f>'BS Input'!G49</f>
        <v>644996</v>
      </c>
      <c r="H51" s="297">
        <f>'BS items'!I38</f>
        <v>814081.690055099</v>
      </c>
      <c r="I51" s="297">
        <f>'BS items'!J38</f>
        <v>916549.249010446</v>
      </c>
      <c r="J51" s="297">
        <f>'BS items'!K38</f>
        <v>1022419.62717574</v>
      </c>
      <c r="K51" s="297">
        <f>'BS items'!L38</f>
        <v>1129938.96710737</v>
      </c>
      <c r="L51" s="297">
        <f>'BS items'!M38</f>
        <v>1237091.75354768</v>
      </c>
      <c r="M51" s="297">
        <f>'BS items'!N38</f>
        <v>1341654.53302433</v>
      </c>
      <c r="N51" s="297">
        <f>'BS items'!O38</f>
        <v>1441267.02636378</v>
      </c>
      <c r="O51" s="297">
        <f>'BS items'!P38</f>
        <v>1533518.05627349</v>
      </c>
      <c r="P51" s="297">
        <f>'BS items'!Q38</f>
        <v>1616042.27121773</v>
      </c>
      <c r="Q51" s="297">
        <f>'BS items'!R38</f>
        <v>1686622.39294698</v>
      </c>
    </row>
    <row r="52" ht="14.25" customHeight="1" spans="2:17">
      <c r="B52" s="125" t="str">
        <f>'BS Input'!B50</f>
        <v>• Derivative instruments</v>
      </c>
      <c r="C52" s="296">
        <f>'BS Input'!C50</f>
        <v>174</v>
      </c>
      <c r="D52" s="296">
        <f>'BS Input'!D50</f>
        <v>3523</v>
      </c>
      <c r="E52" s="296">
        <f>'BS Input'!E50</f>
        <v>2890</v>
      </c>
      <c r="F52" s="296">
        <f>'BS Input'!F50</f>
        <v>0</v>
      </c>
      <c r="G52" s="296">
        <f>'BS Input'!G50</f>
        <v>0</v>
      </c>
      <c r="H52" s="297">
        <f t="shared" ref="H52:Q52" si="13">G52</f>
        <v>0</v>
      </c>
      <c r="I52" s="297">
        <f t="shared" si="13"/>
        <v>0</v>
      </c>
      <c r="J52" s="297">
        <f t="shared" si="13"/>
        <v>0</v>
      </c>
      <c r="K52" s="297">
        <f t="shared" si="13"/>
        <v>0</v>
      </c>
      <c r="L52" s="297">
        <f t="shared" si="13"/>
        <v>0</v>
      </c>
      <c r="M52" s="297">
        <f t="shared" si="13"/>
        <v>0</v>
      </c>
      <c r="N52" s="297">
        <f t="shared" si="13"/>
        <v>0</v>
      </c>
      <c r="O52" s="297">
        <f t="shared" si="13"/>
        <v>0</v>
      </c>
      <c r="P52" s="297">
        <f t="shared" si="13"/>
        <v>0</v>
      </c>
      <c r="Q52" s="297">
        <f t="shared" si="13"/>
        <v>0</v>
      </c>
    </row>
    <row r="53" ht="14.25" customHeight="1" spans="2:17">
      <c r="B53" s="125" t="str">
        <f>'BS Input'!B51</f>
        <v>• Other financial liabilities</v>
      </c>
      <c r="C53" s="296">
        <f>'BS Input'!C51</f>
        <v>90116</v>
      </c>
      <c r="D53" s="296">
        <f>'BS Input'!D51</f>
        <v>97311</v>
      </c>
      <c r="E53" s="296">
        <f>'BS Input'!E51</f>
        <v>85036</v>
      </c>
      <c r="F53" s="296">
        <f>'BS Input'!F51</f>
        <v>38642</v>
      </c>
      <c r="G53" s="296">
        <f>'BS Input'!G51</f>
        <v>26320</v>
      </c>
      <c r="H53" s="297">
        <f>'BS items'!I40</f>
        <v>121355.718199421</v>
      </c>
      <c r="I53" s="297">
        <f>'BS items'!J40</f>
        <v>136630.627782912</v>
      </c>
      <c r="J53" s="297">
        <f>'BS items'!K40</f>
        <v>152412.797969572</v>
      </c>
      <c r="K53" s="297">
        <f>'BS items'!L40</f>
        <v>168440.78002239</v>
      </c>
      <c r="L53" s="297">
        <f>'BS items'!M40</f>
        <v>184414.119693809</v>
      </c>
      <c r="M53" s="297">
        <f>'BS items'!N40</f>
        <v>200001.365243402</v>
      </c>
      <c r="N53" s="297">
        <f>'BS items'!O40</f>
        <v>214850.668229231</v>
      </c>
      <c r="O53" s="297">
        <f>'BS items'!P40</f>
        <v>228602.592791705</v>
      </c>
      <c r="P53" s="297">
        <f>'BS items'!Q40</f>
        <v>240904.534348362</v>
      </c>
      <c r="Q53" s="297">
        <f>'BS items'!R40</f>
        <v>251425.961703491</v>
      </c>
    </row>
    <row r="54" ht="14.25" customHeight="1" spans="2:17">
      <c r="B54" s="125" t="str">
        <f>'BS Input'!B52</f>
        <v>Deferred revenue</v>
      </c>
      <c r="C54" s="296">
        <f>'BS Input'!C52</f>
        <v>30258</v>
      </c>
      <c r="D54" s="296">
        <f>'BS Input'!D52</f>
        <v>30901</v>
      </c>
      <c r="E54" s="296">
        <f>'BS Input'!E52</f>
        <v>34139</v>
      </c>
      <c r="F54" s="296">
        <f>'BS Input'!F52</f>
        <v>35185</v>
      </c>
      <c r="G54" s="296">
        <f>'BS Input'!G52</f>
        <v>40185</v>
      </c>
      <c r="H54" s="297">
        <f t="shared" ref="H54:Q54" si="14">G54</f>
        <v>40185</v>
      </c>
      <c r="I54" s="297">
        <f t="shared" si="14"/>
        <v>40185</v>
      </c>
      <c r="J54" s="297">
        <f t="shared" si="14"/>
        <v>40185</v>
      </c>
      <c r="K54" s="297">
        <f t="shared" si="14"/>
        <v>40185</v>
      </c>
      <c r="L54" s="297">
        <f t="shared" si="14"/>
        <v>40185</v>
      </c>
      <c r="M54" s="297">
        <f t="shared" si="14"/>
        <v>40185</v>
      </c>
      <c r="N54" s="297">
        <f t="shared" si="14"/>
        <v>40185</v>
      </c>
      <c r="O54" s="297">
        <f t="shared" si="14"/>
        <v>40185</v>
      </c>
      <c r="P54" s="297">
        <f t="shared" si="14"/>
        <v>40185</v>
      </c>
      <c r="Q54" s="297">
        <f t="shared" si="14"/>
        <v>40185</v>
      </c>
    </row>
    <row r="55" ht="14.25" customHeight="1" spans="2:17">
      <c r="B55" s="125" t="str">
        <f>'BS Input'!B53</f>
        <v>Provisions</v>
      </c>
      <c r="C55" s="296">
        <f>'BS Input'!C53</f>
        <v>4639</v>
      </c>
      <c r="D55" s="296">
        <f>'BS Input'!D53</f>
        <v>4744</v>
      </c>
      <c r="E55" s="296">
        <f>'BS Input'!E53</f>
        <v>5443</v>
      </c>
      <c r="F55" s="296">
        <f>'BS Input'!F53</f>
        <v>30396</v>
      </c>
      <c r="G55" s="296">
        <f>'BS Input'!G53</f>
        <v>35189</v>
      </c>
      <c r="H55" s="297">
        <f>'BS items'!I42</f>
        <v>16409.5826660889</v>
      </c>
      <c r="I55" s="297">
        <f>'BS items'!J42</f>
        <v>18475.0386268491</v>
      </c>
      <c r="J55" s="297">
        <f>'BS items'!K42</f>
        <v>20609.0857914228</v>
      </c>
      <c r="K55" s="297">
        <f>'BS items'!L42</f>
        <v>22776.3713579267</v>
      </c>
      <c r="L55" s="297">
        <f>'BS items'!M42</f>
        <v>24936.2682435513</v>
      </c>
      <c r="M55" s="297">
        <f>'BS items'!N42</f>
        <v>27043.9579196352</v>
      </c>
      <c r="N55" s="297">
        <f>'BS items'!O42</f>
        <v>29051.8638386571</v>
      </c>
      <c r="O55" s="297">
        <f>'BS items'!P42</f>
        <v>30911.38349108</v>
      </c>
      <c r="P55" s="297">
        <f>'BS items'!Q42</f>
        <v>32574.8380849182</v>
      </c>
      <c r="Q55" s="297">
        <f>'BS items'!R42</f>
        <v>33997.5335665232</v>
      </c>
    </row>
    <row r="56" ht="14.25" customHeight="1" spans="2:17">
      <c r="B56" s="125" t="str">
        <f>'BS Input'!B54</f>
        <v>Deferred tax liabilities (net)</v>
      </c>
      <c r="C56" s="296">
        <f>'BS Input'!C54</f>
        <v>24488</v>
      </c>
      <c r="D56" s="296">
        <f>'BS Input'!D54</f>
        <v>20762</v>
      </c>
      <c r="E56" s="296">
        <f>'BS Input'!E54</f>
        <v>25118</v>
      </c>
      <c r="F56" s="296">
        <f>'BS Input'!F54</f>
        <v>93549</v>
      </c>
      <c r="G56" s="296">
        <f>'BS Input'!G54</f>
        <v>67789</v>
      </c>
      <c r="H56" s="297">
        <f>'BS items'!I44</f>
        <v>70592.2444790225</v>
      </c>
      <c r="I56" s="297">
        <f>'BS items'!J44</f>
        <v>79477.6119566462</v>
      </c>
      <c r="J56" s="297">
        <f>'BS items'!K44</f>
        <v>88658.0513521384</v>
      </c>
      <c r="K56" s="297">
        <f>'BS items'!L44</f>
        <v>97981.4787469537</v>
      </c>
      <c r="L56" s="297">
        <f>'BS items'!M44</f>
        <v>107273.120838168</v>
      </c>
      <c r="M56" s="297">
        <f>'BS items'!N44</f>
        <v>116340.1731775</v>
      </c>
      <c r="N56" s="297">
        <f>'BS items'!O44</f>
        <v>124977.96661873</v>
      </c>
      <c r="O56" s="297">
        <f>'BS items'!P44</f>
        <v>132977.418438347</v>
      </c>
      <c r="P56" s="297">
        <f>'BS items'!Q44</f>
        <v>140133.419645534</v>
      </c>
      <c r="Q56" s="297">
        <f>'BS items'!R44</f>
        <v>146253.701270015</v>
      </c>
    </row>
    <row r="57" ht="14.25" customHeight="1" spans="2:17">
      <c r="B57" s="125" t="str">
        <f>'BS Input'!B55</f>
        <v>Other non-current liabilities</v>
      </c>
      <c r="C57" s="296">
        <f>'BS Input'!C55</f>
        <v>1363</v>
      </c>
      <c r="D57" s="296">
        <f>'BS Input'!D55</f>
        <v>1029</v>
      </c>
      <c r="E57" s="296">
        <f>'BS Input'!E55</f>
        <v>1470</v>
      </c>
      <c r="F57" s="296">
        <f>'BS Input'!F55</f>
        <v>1414</v>
      </c>
      <c r="G57" s="296">
        <f>'BS Input'!G55</f>
        <v>1497</v>
      </c>
      <c r="H57" s="297">
        <f>'BS items'!I46</f>
        <v>2244.51836714951</v>
      </c>
      <c r="I57" s="297">
        <f>'BS items'!J46</f>
        <v>2527.03340332074</v>
      </c>
      <c r="J57" s="297">
        <f>'BS items'!K46</f>
        <v>2818.93040976609</v>
      </c>
      <c r="K57" s="297">
        <f>'BS items'!L46</f>
        <v>3115.37379652746</v>
      </c>
      <c r="L57" s="297">
        <f>'BS items'!M46</f>
        <v>3410.80655247145</v>
      </c>
      <c r="M57" s="297">
        <f>'BS items'!N46</f>
        <v>3699.09835650362</v>
      </c>
      <c r="N57" s="297">
        <f>'BS items'!O46</f>
        <v>3973.74164307947</v>
      </c>
      <c r="O57" s="297">
        <f>'BS items'!P46</f>
        <v>4228.08851459157</v>
      </c>
      <c r="P57" s="297">
        <f>'BS items'!Q46</f>
        <v>4455.61742040005</v>
      </c>
      <c r="Q57" s="297">
        <f>'BS items'!R46</f>
        <v>4650.21506522145</v>
      </c>
    </row>
    <row r="58" ht="14.25" customHeight="1" spans="2:17">
      <c r="B58" s="312" t="str">
        <f>'BS Input'!B56</f>
        <v>Total non-current liabilities</v>
      </c>
      <c r="C58" s="299">
        <f t="shared" ref="C58:Q58" si="15">SUM(C50:C57)</f>
        <v>1576950</v>
      </c>
      <c r="D58" s="299">
        <f t="shared" si="15"/>
        <v>2182251</v>
      </c>
      <c r="E58" s="299">
        <f t="shared" si="15"/>
        <v>2002993</v>
      </c>
      <c r="F58" s="299">
        <f t="shared" si="15"/>
        <v>1804525</v>
      </c>
      <c r="G58" s="299">
        <f t="shared" si="15"/>
        <v>1816825</v>
      </c>
      <c r="H58" s="300">
        <f t="shared" si="15"/>
        <v>2270449.72047911</v>
      </c>
      <c r="I58" s="300">
        <f t="shared" si="15"/>
        <v>2551170.66596095</v>
      </c>
      <c r="J58" s="300">
        <f t="shared" si="15"/>
        <v>2841214.00221366</v>
      </c>
      <c r="K58" s="300">
        <f t="shared" si="15"/>
        <v>3135774.84733291</v>
      </c>
      <c r="L58" s="300">
        <f t="shared" si="15"/>
        <v>3429331.47957048</v>
      </c>
      <c r="M58" s="300">
        <f t="shared" si="15"/>
        <v>3715792.50797934</v>
      </c>
      <c r="N58" s="300">
        <f t="shared" si="15"/>
        <v>3988691.69282516</v>
      </c>
      <c r="O58" s="300">
        <f t="shared" si="15"/>
        <v>4241423.35347896</v>
      </c>
      <c r="P58" s="300">
        <f t="shared" si="15"/>
        <v>4467507.35392238</v>
      </c>
      <c r="Q58" s="300">
        <f t="shared" si="15"/>
        <v>4660869.22089817</v>
      </c>
    </row>
    <row r="59" ht="14.25" customHeight="1" spans="2:17">
      <c r="B59" s="293" t="str">
        <f>'BS Input'!B57</f>
        <v>Current liabilities</v>
      </c>
      <c r="C59" s="296"/>
      <c r="D59" s="296"/>
      <c r="E59" s="296"/>
      <c r="F59" s="296"/>
      <c r="G59" s="296"/>
      <c r="H59" s="297"/>
      <c r="I59" s="297"/>
      <c r="J59" s="297"/>
      <c r="K59" s="297"/>
      <c r="L59" s="297"/>
      <c r="M59" s="297"/>
      <c r="N59" s="297"/>
      <c r="O59" s="297"/>
      <c r="P59" s="297"/>
      <c r="Q59" s="297"/>
    </row>
    <row r="60" ht="14.25" customHeight="1" spans="2:17">
      <c r="B60" s="310" t="str">
        <f>'BS Input'!B58</f>
        <v>Financial liabilities</v>
      </c>
      <c r="C60" s="296"/>
      <c r="D60" s="296"/>
      <c r="E60" s="296"/>
      <c r="F60" s="296"/>
      <c r="G60" s="296"/>
      <c r="H60" s="297"/>
      <c r="I60" s="297"/>
      <c r="J60" s="297"/>
      <c r="K60" s="297"/>
      <c r="L60" s="297"/>
      <c r="M60" s="297"/>
      <c r="N60" s="297"/>
      <c r="O60" s="297"/>
      <c r="P60" s="297"/>
      <c r="Q60" s="297"/>
    </row>
    <row r="61" ht="14.25" customHeight="1" spans="2:17">
      <c r="B61" s="125" t="str">
        <f>'BS Input'!B59</f>
        <v>• Borrowings</v>
      </c>
      <c r="C61" s="296">
        <f>'BS Input'!C59</f>
        <v>193795</v>
      </c>
      <c r="D61" s="296">
        <f>'BS Input'!D59</f>
        <v>139762</v>
      </c>
      <c r="E61" s="296">
        <f>'BS Input'!E59</f>
        <v>209539</v>
      </c>
      <c r="F61" s="296">
        <f>'BS Input'!F59</f>
        <v>434485</v>
      </c>
      <c r="G61" s="296">
        <f>'BS Input'!G59</f>
        <v>215865</v>
      </c>
      <c r="H61" s="297">
        <f>'BS items'!I50</f>
        <v>386236.028086828</v>
      </c>
      <c r="I61" s="297">
        <f>'BS items'!J50</f>
        <v>434851.128342906</v>
      </c>
      <c r="J61" s="297">
        <f>'BS items'!K50</f>
        <v>485080.675149007</v>
      </c>
      <c r="K61" s="297">
        <f>'BS items'!L50</f>
        <v>536092.56167713</v>
      </c>
      <c r="L61" s="297">
        <f>'BS items'!M50</f>
        <v>586930.539166022</v>
      </c>
      <c r="M61" s="297">
        <f>'BS items'!N50</f>
        <v>636539.703853224</v>
      </c>
      <c r="N61" s="297">
        <f>'BS items'!O50</f>
        <v>683800.23586771</v>
      </c>
      <c r="O61" s="297">
        <f>'BS items'!P50</f>
        <v>727568.167040357</v>
      </c>
      <c r="P61" s="297">
        <f>'BS items'!Q50</f>
        <v>766721.270949245</v>
      </c>
      <c r="Q61" s="297">
        <f>'BS items'!R50</f>
        <v>800207.573628211</v>
      </c>
    </row>
    <row r="62" ht="14.25" customHeight="1" spans="2:17">
      <c r="B62" s="125" t="str">
        <f>'BS Input'!B60</f>
        <v>• Lease liabilities</v>
      </c>
      <c r="C62" s="296">
        <f>'BS Input'!C60</f>
        <v>77072</v>
      </c>
      <c r="D62" s="296">
        <f>'BS Input'!D60</f>
        <v>96460</v>
      </c>
      <c r="E62" s="296">
        <f>'BS Input'!E60</f>
        <v>97487</v>
      </c>
      <c r="F62" s="296">
        <f>'BS Input'!F60</f>
        <v>96597</v>
      </c>
      <c r="G62" s="296">
        <f>'BS Input'!G60</f>
        <v>92407</v>
      </c>
      <c r="H62" s="297">
        <f>'BS items'!I52</f>
        <v>152525.022713716</v>
      </c>
      <c r="I62" s="297">
        <f>'BS items'!J52</f>
        <v>171723.178068402</v>
      </c>
      <c r="J62" s="297">
        <f>'BS items'!K52</f>
        <v>191558.880101299</v>
      </c>
      <c r="K62" s="297">
        <f>'BS items'!L52</f>
        <v>211703.528931476</v>
      </c>
      <c r="L62" s="297">
        <f>'BS items'!M52</f>
        <v>231779.5008951</v>
      </c>
      <c r="M62" s="297">
        <f>'BS items'!N52</f>
        <v>251370.213362304</v>
      </c>
      <c r="N62" s="297">
        <f>'BS items'!O52</f>
        <v>270033.44826216</v>
      </c>
      <c r="O62" s="297">
        <f>'BS items'!P52</f>
        <v>287317.45133486</v>
      </c>
      <c r="P62" s="297">
        <f>'BS items'!Q52</f>
        <v>302779.054159941</v>
      </c>
      <c r="Q62" s="297">
        <f>'BS items'!R52</f>
        <v>316002.831087244</v>
      </c>
    </row>
    <row r="63" ht="14.25" customHeight="1" spans="2:17">
      <c r="B63" s="125" t="str">
        <f>'BS Input'!B61</f>
        <v>• Derivative instruments</v>
      </c>
      <c r="C63" s="296">
        <f>'BS Input'!C61</f>
        <v>995</v>
      </c>
      <c r="D63" s="296">
        <f>'BS Input'!D61</f>
        <v>1117</v>
      </c>
      <c r="E63" s="296">
        <f>'BS Input'!E61</f>
        <v>12207</v>
      </c>
      <c r="F63" s="296">
        <f>'BS Input'!F61</f>
        <v>1921</v>
      </c>
      <c r="G63" s="296">
        <f>'BS Input'!G61</f>
        <v>1918</v>
      </c>
      <c r="H63" s="297">
        <f t="shared" ref="H63:Q63" si="16">G63</f>
        <v>1918</v>
      </c>
      <c r="I63" s="297">
        <f t="shared" si="16"/>
        <v>1918</v>
      </c>
      <c r="J63" s="297">
        <f t="shared" si="16"/>
        <v>1918</v>
      </c>
      <c r="K63" s="297">
        <f t="shared" si="16"/>
        <v>1918</v>
      </c>
      <c r="L63" s="297">
        <f t="shared" si="16"/>
        <v>1918</v>
      </c>
      <c r="M63" s="297">
        <f t="shared" si="16"/>
        <v>1918</v>
      </c>
      <c r="N63" s="297">
        <f t="shared" si="16"/>
        <v>1918</v>
      </c>
      <c r="O63" s="297">
        <f t="shared" si="16"/>
        <v>1918</v>
      </c>
      <c r="P63" s="297">
        <f t="shared" si="16"/>
        <v>1918</v>
      </c>
      <c r="Q63" s="297">
        <f t="shared" si="16"/>
        <v>1918</v>
      </c>
    </row>
    <row r="64" ht="14.25" customHeight="1" spans="2:17">
      <c r="B64" s="125" t="str">
        <f>'BS Input'!B62</f>
        <v>• Trade payables</v>
      </c>
      <c r="C64" s="296">
        <f>'BS Input'!C62</f>
        <v>292741</v>
      </c>
      <c r="D64" s="296">
        <f>'BS Input'!D62</f>
        <v>328946</v>
      </c>
      <c r="E64" s="296">
        <f>'BS Input'!E62</f>
        <v>351325</v>
      </c>
      <c r="F64" s="296">
        <f>'BS Input'!F62</f>
        <v>381537</v>
      </c>
      <c r="G64" s="296">
        <f>'BS Input'!G62</f>
        <v>450152</v>
      </c>
      <c r="H64" s="297">
        <f>'Working Capital'!H15</f>
        <v>582469.305001337</v>
      </c>
      <c r="I64" s="297">
        <f>'Working Capital'!I15</f>
        <v>655784.070066087</v>
      </c>
      <c r="J64" s="297">
        <f>'Working Capital'!J15</f>
        <v>731533.526592976</v>
      </c>
      <c r="K64" s="297">
        <f>'Working Capital'!K15</f>
        <v>808462.802818246</v>
      </c>
      <c r="L64" s="297">
        <f>'Working Capital'!L15</f>
        <v>885129.81278701</v>
      </c>
      <c r="M64" s="297">
        <f>'Working Capital'!M15</f>
        <v>959943.692321199</v>
      </c>
      <c r="N64" s="297">
        <f>'Working Capital'!N15</f>
        <v>1031215.67948621</v>
      </c>
      <c r="O64" s="297">
        <f>'Working Capital'!O15</f>
        <v>1097220.59512745</v>
      </c>
      <c r="P64" s="297">
        <f>'Working Capital'!P15</f>
        <v>1156266.04807346</v>
      </c>
      <c r="Q64" s="297">
        <f>'Working Capital'!Q15</f>
        <v>1206765.59247147</v>
      </c>
    </row>
    <row r="65" ht="14.25" customHeight="1" spans="2:17">
      <c r="B65" s="125" t="str">
        <f>'BS Input'!B63</f>
        <v>• Other financial liabilities</v>
      </c>
      <c r="C65" s="296">
        <f>'BS Input'!C63</f>
        <v>194415</v>
      </c>
      <c r="D65" s="296">
        <f>'BS Input'!D63</f>
        <v>241951</v>
      </c>
      <c r="E65" s="296">
        <f>'BS Input'!E63</f>
        <v>253456</v>
      </c>
      <c r="F65" s="296">
        <f>'BS Input'!F63</f>
        <v>333024</v>
      </c>
      <c r="G65" s="296">
        <f>'BS Input'!G63</f>
        <v>408659</v>
      </c>
      <c r="H65" s="297">
        <f>'BS items'!I54</f>
        <v>455351.258707798</v>
      </c>
      <c r="I65" s="297">
        <f>'BS items'!J54</f>
        <v>512665.816346203</v>
      </c>
      <c r="J65" s="297">
        <f>'BS items'!K54</f>
        <v>571883.718611235</v>
      </c>
      <c r="K65" s="297">
        <f>'BS items'!L54</f>
        <v>632023.956834734</v>
      </c>
      <c r="L65" s="297">
        <f>'BS items'!M54</f>
        <v>691959.165764859</v>
      </c>
      <c r="M65" s="297">
        <f>'BS items'!N54</f>
        <v>750445.67127201</v>
      </c>
      <c r="N65" s="297">
        <f>'BS items'!O54</f>
        <v>806163.266667224</v>
      </c>
      <c r="O65" s="297">
        <f>'BS items'!P54</f>
        <v>857763.275732201</v>
      </c>
      <c r="P65" s="297">
        <f>'BS items'!Q54</f>
        <v>903922.654585437</v>
      </c>
      <c r="Q65" s="297">
        <f>'BS items'!R54</f>
        <v>943401.183167731</v>
      </c>
    </row>
    <row r="66" ht="14.25" customHeight="1" spans="2:17">
      <c r="B66" s="125" t="str">
        <f>'BS Input'!B64</f>
        <v>Deferred revenue</v>
      </c>
      <c r="C66" s="296">
        <f>'BS Input'!C64</f>
        <v>75929</v>
      </c>
      <c r="D66" s="296">
        <f>'BS Input'!D64</f>
        <v>84995</v>
      </c>
      <c r="E66" s="296">
        <f>'BS Input'!E64</f>
        <v>87262</v>
      </c>
      <c r="F66" s="296">
        <f>'BS Input'!F64</f>
        <v>97729</v>
      </c>
      <c r="G66" s="296">
        <f>'BS Input'!G64</f>
        <v>109487</v>
      </c>
      <c r="H66" s="297">
        <f t="shared" ref="H66:Q66" si="17">G66</f>
        <v>109487</v>
      </c>
      <c r="I66" s="297">
        <f t="shared" si="17"/>
        <v>109487</v>
      </c>
      <c r="J66" s="297">
        <f t="shared" si="17"/>
        <v>109487</v>
      </c>
      <c r="K66" s="297">
        <f t="shared" si="17"/>
        <v>109487</v>
      </c>
      <c r="L66" s="297">
        <f t="shared" si="17"/>
        <v>109487</v>
      </c>
      <c r="M66" s="297">
        <f t="shared" si="17"/>
        <v>109487</v>
      </c>
      <c r="N66" s="297">
        <f t="shared" si="17"/>
        <v>109487</v>
      </c>
      <c r="O66" s="297">
        <f t="shared" si="17"/>
        <v>109487</v>
      </c>
      <c r="P66" s="297">
        <f t="shared" si="17"/>
        <v>109487</v>
      </c>
      <c r="Q66" s="297">
        <f t="shared" si="17"/>
        <v>109487</v>
      </c>
    </row>
    <row r="67" ht="14.25" customHeight="1" spans="2:17">
      <c r="B67" s="125" t="str">
        <f>'BS Input'!B65</f>
        <v>Provisions</v>
      </c>
      <c r="C67" s="296">
        <f>'BS Input'!C65</f>
        <v>243449</v>
      </c>
      <c r="D67" s="296">
        <f>'BS Input'!D65</f>
        <v>257292</v>
      </c>
      <c r="E67" s="296">
        <f>'BS Input'!E65</f>
        <v>283282</v>
      </c>
      <c r="F67" s="296">
        <f>'BS Input'!F65</f>
        <v>361552</v>
      </c>
      <c r="G67" s="296">
        <f>'BS Input'!G65</f>
        <v>357828</v>
      </c>
      <c r="H67" s="297">
        <f>'BS items'!I58</f>
        <v>488582.101066975</v>
      </c>
      <c r="I67" s="297">
        <f>'BS items'!J58</f>
        <v>550079.387957458</v>
      </c>
      <c r="J67" s="297">
        <f>'BS items'!K58</f>
        <v>613618.9226708</v>
      </c>
      <c r="K67" s="297">
        <f>'BS items'!L58</f>
        <v>678148.104018164</v>
      </c>
      <c r="L67" s="297">
        <f>'BS items'!M58</f>
        <v>742457.293346133</v>
      </c>
      <c r="M67" s="297">
        <f>'BS items'!N58</f>
        <v>805212.055078516</v>
      </c>
      <c r="N67" s="297">
        <f>'BS items'!O58</f>
        <v>864995.835849971</v>
      </c>
      <c r="O67" s="297">
        <f>'BS items'!P58</f>
        <v>920361.535102863</v>
      </c>
      <c r="P67" s="297">
        <f>'BS items'!Q58</f>
        <v>969889.555225308</v>
      </c>
      <c r="Q67" s="297">
        <f>'BS items'!R58</f>
        <v>1012249.16678432</v>
      </c>
    </row>
    <row r="68" ht="14.25" customHeight="1" spans="2:17">
      <c r="B68" s="125" t="str">
        <f>'BS Input'!B66</f>
        <v>Current tax liabilities (net)</v>
      </c>
      <c r="C68" s="296">
        <f>'BS Input'!C66</f>
        <v>20725</v>
      </c>
      <c r="D68" s="296">
        <f>'BS Input'!D66</f>
        <v>17972</v>
      </c>
      <c r="E68" s="296">
        <f>'BS Input'!E66</f>
        <v>33031</v>
      </c>
      <c r="F68" s="296">
        <f>'BS Input'!F66</f>
        <v>20035</v>
      </c>
      <c r="G68" s="296">
        <f>'BS Input'!G66</f>
        <v>31400</v>
      </c>
      <c r="H68" s="297">
        <f>'BS items'!I60</f>
        <v>40247.5254629339</v>
      </c>
      <c r="I68" s="297">
        <f>'BS items'!J60</f>
        <v>44200.3861687872</v>
      </c>
      <c r="J68" s="297">
        <f>'BS items'!K60</f>
        <v>50922.4533594785</v>
      </c>
      <c r="K68" s="297">
        <f>'BS items'!L60</f>
        <v>51996.5686092179</v>
      </c>
      <c r="L68" s="297">
        <f>'BS items'!M60</f>
        <v>59367.5448846324</v>
      </c>
      <c r="M68" s="297">
        <f>'BS items'!N60</f>
        <v>64795.6166836901</v>
      </c>
      <c r="N68" s="297">
        <f>'BS items'!O60</f>
        <v>69276.7091243767</v>
      </c>
      <c r="O68" s="297">
        <f>'BS items'!P60</f>
        <v>73662.3612900875</v>
      </c>
      <c r="P68" s="297">
        <f>'BS items'!Q60</f>
        <v>77054.0190007955</v>
      </c>
      <c r="Q68" s="297">
        <f>'BS items'!R60</f>
        <v>80980.4834944547</v>
      </c>
    </row>
    <row r="69" ht="14.25" customHeight="1" spans="2:17">
      <c r="B69" s="125" t="str">
        <f>'BS Input'!B67</f>
        <v>Other current liabilities</v>
      </c>
      <c r="C69" s="296">
        <f>'BS Input'!C67</f>
        <v>41139</v>
      </c>
      <c r="D69" s="296">
        <f>'BS Input'!D67</f>
        <v>51143</v>
      </c>
      <c r="E69" s="296">
        <f>'BS Input'!E67</f>
        <v>59089</v>
      </c>
      <c r="F69" s="296">
        <f>'BS Input'!F67</f>
        <v>77522</v>
      </c>
      <c r="G69" s="296">
        <f>'BS Input'!G67</f>
        <v>77341</v>
      </c>
      <c r="H69" s="297">
        <f>'BS items'!I56</f>
        <v>98055.2965410714</v>
      </c>
      <c r="I69" s="297">
        <f>'BS items'!J56</f>
        <v>110397.407906488</v>
      </c>
      <c r="J69" s="297">
        <f>'BS items'!K56</f>
        <v>123149.385321936</v>
      </c>
      <c r="K69" s="297">
        <f>'BS items'!L56</f>
        <v>136099.978474551</v>
      </c>
      <c r="L69" s="297">
        <f>'BS items'!M56</f>
        <v>149006.420638722</v>
      </c>
      <c r="M69" s="297">
        <f>'BS items'!N56</f>
        <v>161600.899146214</v>
      </c>
      <c r="N69" s="297">
        <f>'BS items'!O56</f>
        <v>173599.120814772</v>
      </c>
      <c r="O69" s="297">
        <f>'BS items'!P56</f>
        <v>184710.661836415</v>
      </c>
      <c r="P69" s="297">
        <f>'BS items'!Q56</f>
        <v>194650.618068116</v>
      </c>
      <c r="Q69" s="297">
        <f>'BS items'!R56</f>
        <v>203151.920640832</v>
      </c>
    </row>
    <row r="70" ht="14.25" customHeight="1" spans="2:17">
      <c r="B70" s="293" t="str">
        <f>'BS Input'!B68</f>
        <v>Total current liabilities</v>
      </c>
      <c r="C70" s="306">
        <f t="shared" ref="C70:Q70" si="18">SUM(C61:C69)</f>
        <v>1140260</v>
      </c>
      <c r="D70" s="306">
        <f t="shared" si="18"/>
        <v>1219638</v>
      </c>
      <c r="E70" s="306">
        <f t="shared" si="18"/>
        <v>1386678</v>
      </c>
      <c r="F70" s="306">
        <f t="shared" si="18"/>
        <v>1804402</v>
      </c>
      <c r="G70" s="306">
        <f t="shared" si="18"/>
        <v>1745057</v>
      </c>
      <c r="H70" s="297">
        <f t="shared" si="18"/>
        <v>2314871.53758066</v>
      </c>
      <c r="I70" s="297">
        <f t="shared" si="18"/>
        <v>2591106.37485633</v>
      </c>
      <c r="J70" s="297">
        <f t="shared" si="18"/>
        <v>2879152.56180673</v>
      </c>
      <c r="K70" s="297">
        <f t="shared" si="18"/>
        <v>3165932.50136352</v>
      </c>
      <c r="L70" s="297">
        <f t="shared" si="18"/>
        <v>3458035.27748248</v>
      </c>
      <c r="M70" s="297">
        <f t="shared" si="18"/>
        <v>3741312.85171716</v>
      </c>
      <c r="N70" s="297">
        <f t="shared" si="18"/>
        <v>4010489.29607243</v>
      </c>
      <c r="O70" s="297">
        <f t="shared" si="18"/>
        <v>4260009.04746424</v>
      </c>
      <c r="P70" s="297">
        <f t="shared" si="18"/>
        <v>4482688.22006231</v>
      </c>
      <c r="Q70" s="297">
        <f t="shared" si="18"/>
        <v>4674163.75127427</v>
      </c>
    </row>
    <row r="71" ht="14.25" customHeight="1" spans="2:17">
      <c r="B71" s="125" t="str">
        <f>'BS Input'!B69</f>
        <v>Total liabilities</v>
      </c>
      <c r="C71" s="313">
        <f t="shared" ref="C71:Q71" si="19">C58+C70</f>
        <v>2717210</v>
      </c>
      <c r="D71" s="313">
        <f t="shared" si="19"/>
        <v>3401889</v>
      </c>
      <c r="E71" s="313">
        <f t="shared" si="19"/>
        <v>3389671</v>
      </c>
      <c r="F71" s="313">
        <f t="shared" si="19"/>
        <v>3608927</v>
      </c>
      <c r="G71" s="313">
        <f t="shared" si="19"/>
        <v>3561882</v>
      </c>
      <c r="H71" s="314">
        <f t="shared" si="19"/>
        <v>4585321.25805977</v>
      </c>
      <c r="I71" s="314">
        <f t="shared" si="19"/>
        <v>5142277.04081728</v>
      </c>
      <c r="J71" s="314">
        <f t="shared" si="19"/>
        <v>5720366.5640204</v>
      </c>
      <c r="K71" s="314">
        <f t="shared" si="19"/>
        <v>6301707.34869643</v>
      </c>
      <c r="L71" s="314">
        <f t="shared" si="19"/>
        <v>6887366.75705296</v>
      </c>
      <c r="M71" s="314">
        <f t="shared" si="19"/>
        <v>7457105.3596965</v>
      </c>
      <c r="N71" s="314">
        <f t="shared" si="19"/>
        <v>7999180.98889759</v>
      </c>
      <c r="O71" s="314">
        <f t="shared" si="19"/>
        <v>8501432.4009432</v>
      </c>
      <c r="P71" s="314">
        <f t="shared" si="19"/>
        <v>8950195.57398468</v>
      </c>
      <c r="Q71" s="314">
        <f t="shared" si="19"/>
        <v>9335032.97217244</v>
      </c>
    </row>
    <row r="72" ht="14.25" customHeight="1" spans="2:17">
      <c r="B72" s="293" t="str">
        <f>'BS Input'!B70</f>
        <v>Total equity and liabilities</v>
      </c>
      <c r="C72" s="308">
        <f t="shared" ref="C72:Q72" si="20">C71+C47</f>
        <v>3636560</v>
      </c>
      <c r="D72" s="308">
        <f t="shared" si="20"/>
        <v>4466332</v>
      </c>
      <c r="E72" s="308">
        <f t="shared" si="20"/>
        <v>4445310</v>
      </c>
      <c r="F72" s="308">
        <f t="shared" si="20"/>
        <v>5143604</v>
      </c>
      <c r="G72" s="308">
        <f t="shared" si="20"/>
        <v>5521516</v>
      </c>
      <c r="H72" s="314">
        <f t="shared" si="20"/>
        <v>6834471.28664325</v>
      </c>
      <c r="I72" s="314">
        <f t="shared" si="20"/>
        <v>7745147.69950336</v>
      </c>
      <c r="J72" s="314">
        <f t="shared" si="20"/>
        <v>8742514.55600045</v>
      </c>
      <c r="K72" s="314">
        <f t="shared" si="20"/>
        <v>9831735.7297652</v>
      </c>
      <c r="L72" s="314">
        <f t="shared" si="20"/>
        <v>10959924.1344631</v>
      </c>
      <c r="M72" s="314">
        <f t="shared" si="20"/>
        <v>12128685.586358</v>
      </c>
      <c r="N72" s="314">
        <f t="shared" si="20"/>
        <v>13300826.614015</v>
      </c>
      <c r="O72" s="314">
        <f t="shared" si="20"/>
        <v>14455134.7840638</v>
      </c>
      <c r="P72" s="314">
        <f t="shared" si="20"/>
        <v>15550400.5087662</v>
      </c>
      <c r="Q72" s="314">
        <f t="shared" si="20"/>
        <v>16551390.0303954</v>
      </c>
    </row>
    <row r="74" ht="18" customHeight="1" spans="2:17">
      <c r="B74" s="315" t="s">
        <v>347</v>
      </c>
      <c r="C74" s="316" t="b">
        <f t="shared" ref="C74:Q74" si="21">C40=C72</f>
        <v>1</v>
      </c>
      <c r="D74" s="316" t="b">
        <f t="shared" si="21"/>
        <v>1</v>
      </c>
      <c r="E74" s="316" t="b">
        <f t="shared" si="21"/>
        <v>1</v>
      </c>
      <c r="F74" s="316" t="b">
        <f t="shared" si="21"/>
        <v>1</v>
      </c>
      <c r="G74" s="316" t="b">
        <f t="shared" si="21"/>
        <v>1</v>
      </c>
      <c r="H74" s="316" t="b">
        <f t="shared" si="21"/>
        <v>1</v>
      </c>
      <c r="I74" s="316" t="b">
        <f t="shared" si="21"/>
        <v>1</v>
      </c>
      <c r="J74" s="316" t="b">
        <f t="shared" si="21"/>
        <v>1</v>
      </c>
      <c r="K74" s="316" t="b">
        <f t="shared" si="21"/>
        <v>1</v>
      </c>
      <c r="L74" s="316" t="b">
        <f t="shared" si="21"/>
        <v>1</v>
      </c>
      <c r="M74" s="316" t="b">
        <f t="shared" si="21"/>
        <v>1</v>
      </c>
      <c r="N74" s="316" t="b">
        <f t="shared" si="21"/>
        <v>1</v>
      </c>
      <c r="O74" s="316" t="b">
        <f t="shared" si="21"/>
        <v>1</v>
      </c>
      <c r="P74" s="316" t="b">
        <f t="shared" si="21"/>
        <v>1</v>
      </c>
      <c r="Q74" s="316" t="b">
        <f t="shared" si="21"/>
        <v>1</v>
      </c>
    </row>
    <row r="76" ht="14.25" customHeight="1"/>
  </sheetData>
  <mergeCells count="2">
    <mergeCell ref="B7:Q7"/>
    <mergeCell ref="B8:B9"/>
  </mergeCells>
  <pageMargins left="0.75" right="0.75" top="1" bottom="1" header="0.511811023622047" footer="0.511811023622047"/>
  <pageSetup paperSize="9" orientation="portrait" horizontalDpi="300" verticalDpi="300"/>
  <headerFooter/>
  <ignoredErrors>
    <ignoredError sqref="E46:Q51 H53:R60" formula="1"/>
  </ignoredError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F949E"/>
  </sheetPr>
  <dimension ref="A1:Q91"/>
  <sheetViews>
    <sheetView showGridLines="0" workbookViewId="0">
      <pane xSplit="2" ySplit="8" topLeftCell="C18" activePane="bottomRight" state="frozen"/>
      <selection/>
      <selection pane="topRight"/>
      <selection pane="bottomLeft"/>
      <selection pane="bottomRight" activeCell="I44" sqref="I44"/>
    </sheetView>
  </sheetViews>
  <sheetFormatPr defaultColWidth="8.66666666666667" defaultRowHeight="14.4"/>
  <cols>
    <col min="1" max="1" width="2.88888888888889" style="1" customWidth="1"/>
    <col min="2" max="2" width="58" style="1" customWidth="1"/>
    <col min="3" max="5" width="13.1111111111111" style="1" customWidth="1"/>
    <col min="6" max="7" width="14.1111111111111" style="1" customWidth="1"/>
    <col min="8" max="17" width="15.8888888888889"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6" ht="14.25" customHeight="1" spans="1:17">
      <c r="Q6" s="244" t="s">
        <v>51</v>
      </c>
    </row>
    <row r="7" ht="15" customHeight="1" spans="1:17">
      <c r="B7" s="245" t="s">
        <v>12</v>
      </c>
      <c r="C7" s="245"/>
      <c r="D7" s="245"/>
      <c r="E7" s="245"/>
      <c r="F7" s="245"/>
      <c r="G7" s="245"/>
      <c r="H7" s="245"/>
      <c r="I7" s="245"/>
      <c r="J7" s="245"/>
      <c r="K7" s="245"/>
      <c r="L7" s="245"/>
      <c r="M7" s="245"/>
      <c r="N7" s="245"/>
      <c r="O7" s="245"/>
      <c r="P7" s="245"/>
      <c r="Q7" s="245"/>
    </row>
    <row r="8" ht="14.25" customHeight="1" spans="1:17">
      <c r="B8" s="198"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row>
    <row r="9" ht="14.25" customHeight="1" spans="1:17">
      <c r="B9" s="198"/>
      <c r="C9" s="6" t="s">
        <v>85</v>
      </c>
      <c r="D9" s="6" t="s">
        <v>85</v>
      </c>
      <c r="E9" s="6" t="s">
        <v>85</v>
      </c>
      <c r="F9" s="6" t="s">
        <v>85</v>
      </c>
      <c r="G9" s="6" t="s">
        <v>85</v>
      </c>
      <c r="H9" s="246" t="s">
        <v>254</v>
      </c>
      <c r="I9" s="246" t="s">
        <v>255</v>
      </c>
      <c r="J9" s="246" t="s">
        <v>255</v>
      </c>
      <c r="K9" s="246" t="s">
        <v>255</v>
      </c>
      <c r="L9" s="246" t="s">
        <v>255</v>
      </c>
      <c r="M9" s="246" t="s">
        <v>255</v>
      </c>
      <c r="N9" s="246" t="s">
        <v>255</v>
      </c>
      <c r="O9" s="246" t="s">
        <v>255</v>
      </c>
      <c r="P9" s="246" t="s">
        <v>255</v>
      </c>
      <c r="Q9" s="246" t="s">
        <v>255</v>
      </c>
    </row>
    <row r="10" ht="14.25" customHeight="1" spans="1:17">
      <c r="B10" s="247" t="s">
        <v>187</v>
      </c>
      <c r="C10" s="248">
        <v>124831</v>
      </c>
      <c r="D10" s="248">
        <v>165607</v>
      </c>
      <c r="E10" s="248">
        <v>126790</v>
      </c>
      <c r="F10" s="248">
        <v>383985</v>
      </c>
      <c r="G10" s="249">
        <v>451727</v>
      </c>
      <c r="H10" s="250">
        <f>'Income Statement'!H38</f>
        <v>504699.887527176</v>
      </c>
      <c r="I10" s="250">
        <f>'Income Statement'!I38</f>
        <v>615244.56921644</v>
      </c>
      <c r="J10" s="250">
        <f>'Income Statement'!J38</f>
        <v>737647.469172555</v>
      </c>
      <c r="K10" s="250">
        <f>'Income Statement'!K38</f>
        <v>893271.835363501</v>
      </c>
      <c r="L10" s="250">
        <f>'Income Statement'!L38</f>
        <v>990049.160575092</v>
      </c>
      <c r="M10" s="250">
        <f>'Income Statement'!M38</f>
        <v>1119631.76422918</v>
      </c>
      <c r="N10" s="250">
        <f>'Income Statement'!N38</f>
        <v>1233969.73406041</v>
      </c>
      <c r="O10" s="250">
        <f>'Income Statement'!O38</f>
        <v>1341645.56895775</v>
      </c>
      <c r="P10" s="250">
        <f>'Income Statement'!P38</f>
        <v>1437646.46909249</v>
      </c>
      <c r="Q10" s="250">
        <f>'Income Statement'!Q38</f>
        <v>1509924.7914235</v>
      </c>
    </row>
    <row r="11" ht="14.25" customHeight="1" spans="1:17">
      <c r="B11" s="251" t="s">
        <v>188</v>
      </c>
      <c r="C11" s="252"/>
      <c r="D11" s="252"/>
      <c r="E11" s="252"/>
      <c r="F11" s="252"/>
      <c r="G11" s="253"/>
      <c r="H11" s="254"/>
      <c r="I11" s="254"/>
      <c r="J11" s="254"/>
      <c r="K11" s="254"/>
      <c r="L11" s="254"/>
      <c r="M11" s="254"/>
      <c r="N11" s="254"/>
      <c r="O11" s="254"/>
      <c r="P11" s="254"/>
      <c r="Q11" s="254"/>
    </row>
    <row r="12" ht="14.25" customHeight="1" spans="1:17">
      <c r="B12" s="255" t="s">
        <v>189</v>
      </c>
      <c r="C12" s="252">
        <v>330907</v>
      </c>
      <c r="D12" s="252">
        <v>364318</v>
      </c>
      <c r="E12" s="252">
        <v>395376</v>
      </c>
      <c r="F12" s="252">
        <v>455703</v>
      </c>
      <c r="G12" s="253">
        <v>527108</v>
      </c>
      <c r="H12" s="256">
        <f>'Income Statement'!H27</f>
        <v>537650.16</v>
      </c>
      <c r="I12" s="256">
        <f>'Income Statement'!I27</f>
        <v>548403.1632</v>
      </c>
      <c r="J12" s="256">
        <f>'Income Statement'!J27</f>
        <v>559371.226464</v>
      </c>
      <c r="K12" s="256">
        <f>'Income Statement'!K27</f>
        <v>570558.65099328</v>
      </c>
      <c r="L12" s="256">
        <f>'Income Statement'!L27</f>
        <v>581969.824013146</v>
      </c>
      <c r="M12" s="256">
        <f>'Income Statement'!M27</f>
        <v>593609.220493409</v>
      </c>
      <c r="N12" s="256">
        <f>'Income Statement'!N27</f>
        <v>605481.404903277</v>
      </c>
      <c r="O12" s="256">
        <f>'Income Statement'!O27</f>
        <v>617591.033001342</v>
      </c>
      <c r="P12" s="256">
        <f>'Income Statement'!P27</f>
        <v>629942.853661369</v>
      </c>
      <c r="Q12" s="256">
        <f>'Income Statement'!Q27</f>
        <v>642541.710734597</v>
      </c>
    </row>
    <row r="13" ht="14.25" customHeight="1" spans="1:17">
      <c r="B13" s="255" t="s">
        <v>190</v>
      </c>
      <c r="C13" s="252">
        <v>165241</v>
      </c>
      <c r="D13" s="252">
        <v>188434</v>
      </c>
      <c r="E13" s="252">
        <v>219337</v>
      </c>
      <c r="F13" s="252">
        <v>216258</v>
      </c>
      <c r="G13" s="253">
        <v>214485</v>
      </c>
      <c r="H13" s="256">
        <f>'Income Statement'!H31</f>
        <v>332763.810795288</v>
      </c>
      <c r="I13" s="256">
        <f>'Income Statement'!I31</f>
        <v>374648.422398043</v>
      </c>
      <c r="J13" s="256">
        <f>'Income Statement'!J31</f>
        <v>417923.969457989</v>
      </c>
      <c r="K13" s="256">
        <f>'Income Statement'!K31</f>
        <v>461873.545682242</v>
      </c>
      <c r="L13" s="256">
        <f>'Income Statement'!L31</f>
        <v>505673.289600813</v>
      </c>
      <c r="M13" s="256">
        <f>'Income Statement'!M31</f>
        <v>548414.342975495</v>
      </c>
      <c r="N13" s="256">
        <f>'Income Statement'!N31</f>
        <v>589131.918731576</v>
      </c>
      <c r="O13" s="256">
        <f>'Income Statement'!O31</f>
        <v>626840.424693018</v>
      </c>
      <c r="P13" s="256">
        <f>'Income Statement'!P31</f>
        <v>660573.000407721</v>
      </c>
      <c r="Q13" s="256">
        <f>'Income Statement'!Q31</f>
        <v>689423.311819872</v>
      </c>
    </row>
    <row r="14" ht="14.25" customHeight="1" spans="1:17">
      <c r="B14" s="255" t="s">
        <v>191</v>
      </c>
      <c r="C14" s="252">
        <v>-1067</v>
      </c>
      <c r="D14" s="252">
        <v>-2474</v>
      </c>
      <c r="E14" s="252">
        <v>-2645</v>
      </c>
      <c r="F14" s="252">
        <v>-2048</v>
      </c>
      <c r="G14" s="253">
        <v>-3369</v>
      </c>
      <c r="H14" s="256">
        <f t="shared" ref="H14:Q14" si="0">G14</f>
        <v>-3369</v>
      </c>
      <c r="I14" s="256">
        <f t="shared" si="0"/>
        <v>-3369</v>
      </c>
      <c r="J14" s="256">
        <f t="shared" si="0"/>
        <v>-3369</v>
      </c>
      <c r="K14" s="256">
        <f t="shared" si="0"/>
        <v>-3369</v>
      </c>
      <c r="L14" s="256">
        <f t="shared" si="0"/>
        <v>-3369</v>
      </c>
      <c r="M14" s="256">
        <f t="shared" si="0"/>
        <v>-3369</v>
      </c>
      <c r="N14" s="256">
        <f t="shared" si="0"/>
        <v>-3369</v>
      </c>
      <c r="O14" s="256">
        <f t="shared" si="0"/>
        <v>-3369</v>
      </c>
      <c r="P14" s="256">
        <f t="shared" si="0"/>
        <v>-3369</v>
      </c>
      <c r="Q14" s="256">
        <f t="shared" si="0"/>
        <v>-3369</v>
      </c>
    </row>
    <row r="15" ht="14.25" customHeight="1" spans="1:17">
      <c r="B15" s="255" t="s">
        <v>192</v>
      </c>
      <c r="C15" s="252" t="s">
        <v>109</v>
      </c>
      <c r="D15" s="252" t="s">
        <v>109</v>
      </c>
      <c r="E15" s="252" t="s">
        <v>109</v>
      </c>
      <c r="F15" s="252" t="s">
        <v>109</v>
      </c>
      <c r="G15" s="253">
        <v>-272</v>
      </c>
      <c r="H15" s="256">
        <f t="shared" ref="H15:Q15" si="1">G15</f>
        <v>-272</v>
      </c>
      <c r="I15" s="256">
        <f t="shared" si="1"/>
        <v>-272</v>
      </c>
      <c r="J15" s="256">
        <f t="shared" si="1"/>
        <v>-272</v>
      </c>
      <c r="K15" s="256">
        <f t="shared" si="1"/>
        <v>-272</v>
      </c>
      <c r="L15" s="256">
        <f t="shared" si="1"/>
        <v>-272</v>
      </c>
      <c r="M15" s="256">
        <f t="shared" si="1"/>
        <v>-272</v>
      </c>
      <c r="N15" s="256">
        <f t="shared" si="1"/>
        <v>-272</v>
      </c>
      <c r="O15" s="256">
        <f t="shared" si="1"/>
        <v>-272</v>
      </c>
      <c r="P15" s="256">
        <f t="shared" si="1"/>
        <v>-272</v>
      </c>
      <c r="Q15" s="256">
        <f t="shared" si="1"/>
        <v>-272</v>
      </c>
    </row>
    <row r="16" ht="14.25" customHeight="1" spans="1:17">
      <c r="B16" s="255" t="s">
        <v>193</v>
      </c>
      <c r="C16" s="252">
        <v>-2206</v>
      </c>
      <c r="D16" s="252">
        <v>-3080</v>
      </c>
      <c r="E16" s="252">
        <v>-6493</v>
      </c>
      <c r="F16" s="252">
        <v>-5306</v>
      </c>
      <c r="G16" s="253">
        <v>-11158</v>
      </c>
      <c r="H16" s="256">
        <f t="shared" ref="H16:Q16" si="2">G16</f>
        <v>-11158</v>
      </c>
      <c r="I16" s="256">
        <f t="shared" si="2"/>
        <v>-11158</v>
      </c>
      <c r="J16" s="256">
        <f t="shared" si="2"/>
        <v>-11158</v>
      </c>
      <c r="K16" s="256">
        <f t="shared" si="2"/>
        <v>-11158</v>
      </c>
      <c r="L16" s="256">
        <f t="shared" si="2"/>
        <v>-11158</v>
      </c>
      <c r="M16" s="256">
        <f t="shared" si="2"/>
        <v>-11158</v>
      </c>
      <c r="N16" s="256">
        <f t="shared" si="2"/>
        <v>-11158</v>
      </c>
      <c r="O16" s="256">
        <f t="shared" si="2"/>
        <v>-11158</v>
      </c>
      <c r="P16" s="256">
        <f t="shared" si="2"/>
        <v>-11158</v>
      </c>
      <c r="Q16" s="256">
        <f t="shared" si="2"/>
        <v>-11158</v>
      </c>
    </row>
    <row r="17" ht="14.25" customHeight="1" spans="2:17">
      <c r="B17" s="255" t="s">
        <v>194</v>
      </c>
      <c r="C17" s="252">
        <v>947</v>
      </c>
      <c r="D17" s="252">
        <v>3013</v>
      </c>
      <c r="E17" s="252">
        <v>6319</v>
      </c>
      <c r="F17" s="252">
        <v>420</v>
      </c>
      <c r="G17" s="253">
        <v>-2017</v>
      </c>
      <c r="H17" s="256">
        <f t="shared" ref="H17:Q17" si="3">G17</f>
        <v>-2017</v>
      </c>
      <c r="I17" s="256">
        <f t="shared" si="3"/>
        <v>-2017</v>
      </c>
      <c r="J17" s="256">
        <f t="shared" si="3"/>
        <v>-2017</v>
      </c>
      <c r="K17" s="256">
        <f t="shared" si="3"/>
        <v>-2017</v>
      </c>
      <c r="L17" s="256">
        <f t="shared" si="3"/>
        <v>-2017</v>
      </c>
      <c r="M17" s="256">
        <f t="shared" si="3"/>
        <v>-2017</v>
      </c>
      <c r="N17" s="256">
        <f t="shared" si="3"/>
        <v>-2017</v>
      </c>
      <c r="O17" s="256">
        <f t="shared" si="3"/>
        <v>-2017</v>
      </c>
      <c r="P17" s="256">
        <f t="shared" si="3"/>
        <v>-2017</v>
      </c>
      <c r="Q17" s="256">
        <f t="shared" si="3"/>
        <v>-2017</v>
      </c>
    </row>
    <row r="18" ht="14.25" customHeight="1" spans="2:17">
      <c r="B18" s="255" t="s">
        <v>195</v>
      </c>
      <c r="C18" s="252">
        <v>-24232</v>
      </c>
      <c r="D18" s="252">
        <v>-7521</v>
      </c>
      <c r="E18" s="252">
        <v>-27094</v>
      </c>
      <c r="F18" s="252">
        <v>-37030</v>
      </c>
      <c r="G18" s="253">
        <v>-3645</v>
      </c>
      <c r="H18" s="256">
        <f>'Income Statement'!H32</f>
        <v>-33803.0298506877</v>
      </c>
      <c r="I18" s="256">
        <f>'Income Statement'!I32</f>
        <v>-38057.7797073762</v>
      </c>
      <c r="J18" s="256">
        <f>'Income Statement'!J32</f>
        <v>-42453.8244743119</v>
      </c>
      <c r="K18" s="256">
        <f>'Income Statement'!K32</f>
        <v>-46918.3389101904</v>
      </c>
      <c r="L18" s="256">
        <f>'Income Statement'!L32</f>
        <v>-51367.6329833453</v>
      </c>
      <c r="M18" s="256">
        <f>'Income Statement'!M32</f>
        <v>-55709.3824651213</v>
      </c>
      <c r="N18" s="256">
        <f>'Income Statement'!N32</f>
        <v>-59845.5817274177</v>
      </c>
      <c r="O18" s="256">
        <f>'Income Statement'!O32</f>
        <v>-63676.1117048005</v>
      </c>
      <c r="P18" s="256">
        <f>'Income Statement'!P32</f>
        <v>-67102.7561499988</v>
      </c>
      <c r="Q18" s="256">
        <f>'Income Statement'!Q32</f>
        <v>-70033.4472474947</v>
      </c>
    </row>
    <row r="19" ht="14.25" customHeight="1" spans="2:17">
      <c r="B19" s="255" t="s">
        <v>196</v>
      </c>
      <c r="C19" s="252">
        <v>-11705</v>
      </c>
      <c r="D19" s="252">
        <v>6698</v>
      </c>
      <c r="E19" s="252">
        <v>75723</v>
      </c>
      <c r="F19" s="252">
        <v>-72868</v>
      </c>
      <c r="G19" s="253">
        <v>34175</v>
      </c>
      <c r="H19" s="256">
        <f>'Income Statement'!H36</f>
        <v>7424.17593578602</v>
      </c>
      <c r="I19" s="256">
        <f>'Income Statement'!I36</f>
        <v>18260.4076381286</v>
      </c>
      <c r="J19" s="256">
        <f>'Income Statement'!J36</f>
        <v>21411.3627757086</v>
      </c>
      <c r="K19" s="256">
        <f>'Income Statement'!K36</f>
        <v>-6752.14121502982</v>
      </c>
      <c r="L19" s="256">
        <f>'Income Statement'!L36</f>
        <v>23234.9694038399</v>
      </c>
      <c r="M19" s="256">
        <f>'Income Statement'!M36</f>
        <v>16848.7136046804</v>
      </c>
      <c r="N19" s="256">
        <f>'Income Statement'!N36</f>
        <v>19090.8131362431</v>
      </c>
      <c r="O19" s="256">
        <f>'Income Statement'!O36</f>
        <v>18264.8531860003</v>
      </c>
      <c r="P19" s="256">
        <f>'Income Statement'!P36</f>
        <v>16328.7177515088</v>
      </c>
      <c r="Q19" s="256">
        <f>'Income Statement'!Q36</f>
        <v>22465.9824569598</v>
      </c>
    </row>
    <row r="20" ht="14.25" customHeight="1" spans="2:17">
      <c r="B20" s="255" t="s">
        <v>197</v>
      </c>
      <c r="C20" s="252">
        <v>776</v>
      </c>
      <c r="D20" s="252">
        <v>1115</v>
      </c>
      <c r="E20" s="252">
        <v>1194</v>
      </c>
      <c r="F20" s="252">
        <v>1669</v>
      </c>
      <c r="G20" s="253">
        <v>3157</v>
      </c>
      <c r="H20" s="256">
        <f t="shared" ref="H20:Q20" si="4">G20</f>
        <v>3157</v>
      </c>
      <c r="I20" s="256">
        <f t="shared" si="4"/>
        <v>3157</v>
      </c>
      <c r="J20" s="256">
        <f t="shared" si="4"/>
        <v>3157</v>
      </c>
      <c r="K20" s="256">
        <f t="shared" si="4"/>
        <v>3157</v>
      </c>
      <c r="L20" s="256">
        <f t="shared" si="4"/>
        <v>3157</v>
      </c>
      <c r="M20" s="256">
        <f t="shared" si="4"/>
        <v>3157</v>
      </c>
      <c r="N20" s="256">
        <f t="shared" si="4"/>
        <v>3157</v>
      </c>
      <c r="O20" s="256">
        <f t="shared" si="4"/>
        <v>3157</v>
      </c>
      <c r="P20" s="256">
        <f t="shared" si="4"/>
        <v>3157</v>
      </c>
      <c r="Q20" s="256">
        <f t="shared" si="4"/>
        <v>3157</v>
      </c>
    </row>
    <row r="21" ht="14.25" customHeight="1" spans="2:17">
      <c r="B21" s="255" t="s">
        <v>198</v>
      </c>
      <c r="C21" s="252">
        <v>74</v>
      </c>
      <c r="D21" s="252">
        <v>22</v>
      </c>
      <c r="E21" s="252">
        <v>44</v>
      </c>
      <c r="F21" s="252">
        <v>-1031</v>
      </c>
      <c r="G21" s="253">
        <v>-2985</v>
      </c>
      <c r="H21" s="256">
        <f t="shared" ref="H21:Q21" si="5">G21</f>
        <v>-2985</v>
      </c>
      <c r="I21" s="256">
        <f t="shared" si="5"/>
        <v>-2985</v>
      </c>
      <c r="J21" s="256">
        <f t="shared" si="5"/>
        <v>-2985</v>
      </c>
      <c r="K21" s="256">
        <f t="shared" si="5"/>
        <v>-2985</v>
      </c>
      <c r="L21" s="256">
        <f t="shared" si="5"/>
        <v>-2985</v>
      </c>
      <c r="M21" s="256">
        <f t="shared" si="5"/>
        <v>-2985</v>
      </c>
      <c r="N21" s="256">
        <f t="shared" si="5"/>
        <v>-2985</v>
      </c>
      <c r="O21" s="256">
        <f t="shared" si="5"/>
        <v>-2985</v>
      </c>
      <c r="P21" s="256">
        <f t="shared" si="5"/>
        <v>-2985</v>
      </c>
      <c r="Q21" s="256">
        <f t="shared" si="5"/>
        <v>-2985</v>
      </c>
    </row>
    <row r="22" ht="14.25" customHeight="1" spans="2:17">
      <c r="B22" s="255" t="s">
        <v>199</v>
      </c>
      <c r="C22" s="252">
        <v>3048</v>
      </c>
      <c r="D22" s="252">
        <v>5664</v>
      </c>
      <c r="E22" s="252">
        <v>4278</v>
      </c>
      <c r="F22" s="252">
        <v>3741</v>
      </c>
      <c r="G22" s="253">
        <v>3586</v>
      </c>
      <c r="H22" s="256">
        <f t="shared" ref="H22:Q22" si="6">G22</f>
        <v>3586</v>
      </c>
      <c r="I22" s="256">
        <f t="shared" si="6"/>
        <v>3586</v>
      </c>
      <c r="J22" s="256">
        <f t="shared" si="6"/>
        <v>3586</v>
      </c>
      <c r="K22" s="256">
        <f t="shared" si="6"/>
        <v>3586</v>
      </c>
      <c r="L22" s="256">
        <f t="shared" si="6"/>
        <v>3586</v>
      </c>
      <c r="M22" s="256">
        <f t="shared" si="6"/>
        <v>3586</v>
      </c>
      <c r="N22" s="256">
        <f t="shared" si="6"/>
        <v>3586</v>
      </c>
      <c r="O22" s="256">
        <f t="shared" si="6"/>
        <v>3586</v>
      </c>
      <c r="P22" s="256">
        <f t="shared" si="6"/>
        <v>3586</v>
      </c>
      <c r="Q22" s="256">
        <f t="shared" si="6"/>
        <v>3586</v>
      </c>
    </row>
    <row r="23" ht="14.25" customHeight="1" spans="2:17">
      <c r="B23" s="255" t="s">
        <v>200</v>
      </c>
      <c r="C23" s="252">
        <v>-222</v>
      </c>
      <c r="D23" s="252">
        <v>485</v>
      </c>
      <c r="E23" s="252">
        <v>823</v>
      </c>
      <c r="F23" s="252">
        <v>396</v>
      </c>
      <c r="G23" s="253">
        <v>2301</v>
      </c>
      <c r="H23" s="256">
        <f t="shared" ref="H23:Q23" si="7">G23</f>
        <v>2301</v>
      </c>
      <c r="I23" s="256">
        <f t="shared" si="7"/>
        <v>2301</v>
      </c>
      <c r="J23" s="256">
        <f t="shared" si="7"/>
        <v>2301</v>
      </c>
      <c r="K23" s="256">
        <f t="shared" si="7"/>
        <v>2301</v>
      </c>
      <c r="L23" s="256">
        <f t="shared" si="7"/>
        <v>2301</v>
      </c>
      <c r="M23" s="256">
        <f t="shared" si="7"/>
        <v>2301</v>
      </c>
      <c r="N23" s="256">
        <f t="shared" si="7"/>
        <v>2301</v>
      </c>
      <c r="O23" s="256">
        <f t="shared" si="7"/>
        <v>2301</v>
      </c>
      <c r="P23" s="256">
        <f t="shared" si="7"/>
        <v>2301</v>
      </c>
      <c r="Q23" s="256">
        <f t="shared" si="7"/>
        <v>2301</v>
      </c>
    </row>
    <row r="24" ht="14.25" customHeight="1" spans="2:17">
      <c r="B24" s="251" t="s">
        <v>201</v>
      </c>
      <c r="C24" s="257">
        <f t="shared" ref="C24:Q24" si="8">SUM(C10:C23)</f>
        <v>586392</v>
      </c>
      <c r="D24" s="257">
        <f t="shared" si="8"/>
        <v>722281</v>
      </c>
      <c r="E24" s="257">
        <f t="shared" si="8"/>
        <v>793652</v>
      </c>
      <c r="F24" s="257">
        <f t="shared" si="8"/>
        <v>943889</v>
      </c>
      <c r="G24" s="258">
        <f t="shared" si="8"/>
        <v>1213093</v>
      </c>
      <c r="H24" s="259">
        <f t="shared" si="8"/>
        <v>1337978.00440756</v>
      </c>
      <c r="I24" s="259">
        <f t="shared" si="8"/>
        <v>1507741.78274524</v>
      </c>
      <c r="J24" s="259">
        <f t="shared" si="8"/>
        <v>1683143.20339594</v>
      </c>
      <c r="K24" s="259">
        <f t="shared" si="8"/>
        <v>1861276.5519138</v>
      </c>
      <c r="L24" s="259">
        <f t="shared" si="8"/>
        <v>2038802.61060955</v>
      </c>
      <c r="M24" s="259">
        <f t="shared" si="8"/>
        <v>2212037.65883764</v>
      </c>
      <c r="N24" s="259">
        <f t="shared" si="8"/>
        <v>2377071.28910408</v>
      </c>
      <c r="O24" s="259">
        <f t="shared" si="8"/>
        <v>2529908.76813331</v>
      </c>
      <c r="P24" s="259">
        <f t="shared" si="8"/>
        <v>2666631.28476309</v>
      </c>
      <c r="Q24" s="259">
        <f t="shared" si="8"/>
        <v>2783565.34918743</v>
      </c>
    </row>
    <row r="25" ht="14.25" customHeight="1" spans="2:17">
      <c r="B25" s="251" t="s">
        <v>202</v>
      </c>
      <c r="C25" s="252"/>
      <c r="D25" s="252"/>
      <c r="E25" s="252"/>
      <c r="F25" s="252"/>
      <c r="G25" s="253"/>
      <c r="H25" s="254"/>
      <c r="I25" s="254"/>
      <c r="J25" s="254"/>
      <c r="K25" s="254"/>
      <c r="L25" s="254"/>
      <c r="M25" s="254"/>
      <c r="N25" s="254"/>
      <c r="O25" s="254"/>
      <c r="P25" s="254"/>
      <c r="Q25" s="254"/>
    </row>
    <row r="26" ht="14.25" customHeight="1" spans="2:17">
      <c r="B26" s="255" t="s">
        <v>203</v>
      </c>
      <c r="C26" s="252">
        <v>-7131</v>
      </c>
      <c r="D26" s="252">
        <v>-5583</v>
      </c>
      <c r="E26" s="252">
        <v>-14941</v>
      </c>
      <c r="F26" s="252">
        <v>29658</v>
      </c>
      <c r="G26" s="253">
        <v>-5654</v>
      </c>
      <c r="H26" s="256">
        <f>-('Balance Sheet'!H33-'Balance Sheet'!G33)</f>
        <v>-8821.8884707554</v>
      </c>
      <c r="I26" s="256">
        <f>-('Balance Sheet'!I33-'Balance Sheet'!H33)</f>
        <v>-11151.7179063221</v>
      </c>
      <c r="J26" s="256">
        <f>-('Balance Sheet'!J33-'Balance Sheet'!I33)</f>
        <v>-11522.0524815024</v>
      </c>
      <c r="K26" s="256">
        <f>-('Balance Sheet'!K33-'Balance Sheet'!J33)</f>
        <v>-11701.5117820273</v>
      </c>
      <c r="L26" s="256">
        <f>-('Balance Sheet'!L33-'Balance Sheet'!K33)</f>
        <v>-11661.619145035</v>
      </c>
      <c r="M26" s="256">
        <f>-('Balance Sheet'!M33-'Balance Sheet'!L33)</f>
        <v>-11379.7443026108</v>
      </c>
      <c r="N26" s="256">
        <f>-('Balance Sheet'!N33-'Balance Sheet'!M33)</f>
        <v>-10840.9962820627</v>
      </c>
      <c r="O26" s="256">
        <f>-('Balance Sheet'!O33-'Balance Sheet'!N33)</f>
        <v>-10039.8357549342</v>
      </c>
      <c r="P26" s="256">
        <f>-('Balance Sheet'!P33-'Balance Sheet'!O33)</f>
        <v>-8981.25001591939</v>
      </c>
      <c r="Q26" s="256">
        <f>-('Balance Sheet'!Q33-'Balance Sheet'!P33)</f>
        <v>-7681.35413142262</v>
      </c>
    </row>
    <row r="27" ht="14.25" customHeight="1" spans="2:17">
      <c r="B27" s="255" t="s">
        <v>204</v>
      </c>
      <c r="C27" s="252">
        <v>-4877</v>
      </c>
      <c r="D27" s="252">
        <v>12671</v>
      </c>
      <c r="E27" s="252">
        <v>6398</v>
      </c>
      <c r="F27" s="252">
        <v>8586</v>
      </c>
      <c r="G27" s="253">
        <v>24977</v>
      </c>
      <c r="H27" s="256">
        <f>'Balance Sheet'!H64-'Balance Sheet'!G64</f>
        <v>132317.305001337</v>
      </c>
      <c r="I27" s="256">
        <f>'Balance Sheet'!I64-'Balance Sheet'!H64</f>
        <v>73314.7650647504</v>
      </c>
      <c r="J27" s="256">
        <f>'Balance Sheet'!J64-'Balance Sheet'!I64</f>
        <v>75749.4565268888</v>
      </c>
      <c r="K27" s="256">
        <f>'Balance Sheet'!K64-'Balance Sheet'!J64</f>
        <v>76929.2762252699</v>
      </c>
      <c r="L27" s="256">
        <f>'Balance Sheet'!L64-'Balance Sheet'!K64</f>
        <v>76667.0099687637</v>
      </c>
      <c r="M27" s="256">
        <f>'Balance Sheet'!M64-'Balance Sheet'!L64</f>
        <v>74813.8795341897</v>
      </c>
      <c r="N27" s="256">
        <f>'Balance Sheet'!N64-'Balance Sheet'!M64</f>
        <v>71271.9871650154</v>
      </c>
      <c r="O27" s="256">
        <f>'Balance Sheet'!O64-'Balance Sheet'!N64</f>
        <v>66004.9156412387</v>
      </c>
      <c r="P27" s="256">
        <f>'Balance Sheet'!P64-'Balance Sheet'!O64</f>
        <v>59045.45294601</v>
      </c>
      <c r="Q27" s="256">
        <f>'Balance Sheet'!Q64-'Balance Sheet'!P64</f>
        <v>50499.5443980102</v>
      </c>
    </row>
    <row r="28" ht="14.25" customHeight="1" spans="2:17">
      <c r="B28" s="255" t="s">
        <v>139</v>
      </c>
      <c r="C28" s="252">
        <v>-1181</v>
      </c>
      <c r="D28" s="252">
        <v>-1157</v>
      </c>
      <c r="E28" s="252">
        <v>-771</v>
      </c>
      <c r="F28" s="252">
        <v>-1416</v>
      </c>
      <c r="G28" s="253">
        <v>-1982</v>
      </c>
      <c r="H28" s="256">
        <f>-('Balance Sheet'!H30-'Balance Sheet'!G30)</f>
        <v>-518.805607528868</v>
      </c>
      <c r="I28" s="256">
        <f>-('Balance Sheet'!I30-'Balance Sheet'!H30)</f>
        <v>-821.647648030554</v>
      </c>
      <c r="J28" s="256">
        <f>-('Balance Sheet'!J30-'Balance Sheet'!I30)</f>
        <v>-848.933536647659</v>
      </c>
      <c r="K28" s="256">
        <f>-('Balance Sheet'!K30-'Balance Sheet'!J30)</f>
        <v>-862.155922062369</v>
      </c>
      <c r="L28" s="256">
        <f>-('Balance Sheet'!L30-'Balance Sheet'!K30)</f>
        <v>-859.216671658634</v>
      </c>
      <c r="M28" s="256">
        <f>-('Balance Sheet'!M30-'Balance Sheet'!L30)</f>
        <v>-838.448409471383</v>
      </c>
      <c r="N28" s="256">
        <f>-('Balance Sheet'!N30-'Balance Sheet'!M30)</f>
        <v>-798.753983223967</v>
      </c>
      <c r="O28" s="256">
        <f>-('Balance Sheet'!O30-'Balance Sheet'!N30)</f>
        <v>-739.725260623578</v>
      </c>
      <c r="P28" s="256">
        <f>-('Balance Sheet'!P30-'Balance Sheet'!O30)</f>
        <v>-661.729700656348</v>
      </c>
      <c r="Q28" s="256">
        <f>-('Balance Sheet'!Q30-'Balance Sheet'!P30)</f>
        <v>-565.954645624164</v>
      </c>
    </row>
    <row r="29" ht="14.25" customHeight="1" spans="2:17">
      <c r="B29" s="255" t="s">
        <v>160</v>
      </c>
      <c r="C29" s="252">
        <v>2736</v>
      </c>
      <c r="D29" s="252">
        <v>6494</v>
      </c>
      <c r="E29" s="252">
        <v>17332</v>
      </c>
      <c r="F29" s="252">
        <v>22699</v>
      </c>
      <c r="G29" s="253">
        <v>18276</v>
      </c>
      <c r="H29" s="256">
        <f>('Balance Sheet'!H55+'Balance Sheet'!H67)-('Balance Sheet'!G55+'Balance Sheet'!G67)</f>
        <v>111974.683733064</v>
      </c>
      <c r="I29" s="256">
        <f>('Balance Sheet'!I55+'Balance Sheet'!I67)-('Balance Sheet'!H55+'Balance Sheet'!H67)</f>
        <v>63562.7428512433</v>
      </c>
      <c r="J29" s="256">
        <f>('Balance Sheet'!J55+'Balance Sheet'!J67)-('Balance Sheet'!I55+'Balance Sheet'!I67)</f>
        <v>65673.5818779159</v>
      </c>
      <c r="K29" s="256">
        <f>('Balance Sheet'!K55+'Balance Sheet'!K67)-('Balance Sheet'!J55+'Balance Sheet'!J67)</f>
        <v>66696.4669138676</v>
      </c>
      <c r="L29" s="256">
        <f>('Balance Sheet'!L55+'Balance Sheet'!L67)-('Balance Sheet'!K55+'Balance Sheet'!K67)</f>
        <v>66469.0862135931</v>
      </c>
      <c r="M29" s="256">
        <f>('Balance Sheet'!M55+'Balance Sheet'!M67)-('Balance Sheet'!L55+'Balance Sheet'!L67)</f>
        <v>64862.4514084676</v>
      </c>
      <c r="N29" s="256">
        <f>('Balance Sheet'!N55+'Balance Sheet'!N67)-('Balance Sheet'!M55+'Balance Sheet'!M67)</f>
        <v>61791.6866904768</v>
      </c>
      <c r="O29" s="256">
        <f>('Balance Sheet'!O55+'Balance Sheet'!O67)-('Balance Sheet'!N55+'Balance Sheet'!N67)</f>
        <v>57225.2189053148</v>
      </c>
      <c r="P29" s="256">
        <f>('Balance Sheet'!P55+'Balance Sheet'!P67)-('Balance Sheet'!O55+'Balance Sheet'!O67)</f>
        <v>51191.474716283</v>
      </c>
      <c r="Q29" s="256">
        <f>('Balance Sheet'!Q55+'Balance Sheet'!Q67)-('Balance Sheet'!P55+'Balance Sheet'!P67)</f>
        <v>43782.3070406179</v>
      </c>
    </row>
    <row r="30" ht="14.25" customHeight="1" spans="2:17">
      <c r="B30" s="255" t="s">
        <v>205</v>
      </c>
      <c r="C30" s="252">
        <v>11655</v>
      </c>
      <c r="D30" s="252">
        <v>-11991</v>
      </c>
      <c r="E30" s="252">
        <v>41516</v>
      </c>
      <c r="F30" s="252">
        <v>48154</v>
      </c>
      <c r="G30" s="253">
        <v>33760</v>
      </c>
      <c r="H30" s="256">
        <f>SUM('Balance Sheet'!H53,'Balance Sheet'!H54,'Balance Sheet'!H56,'Balance Sheet'!H57,'Balance Sheet'!H65,'Balance Sheet'!H66,'Balance Sheet'!H68,'Balance Sheet'!H69)-SUM('Balance Sheet'!G53,'Balance Sheet'!G54,'Balance Sheet'!G56,'Balance Sheet'!G57,'Balance Sheet'!G65,'Balance Sheet'!G66,'Balance Sheet'!G68,'Balance Sheet'!G69)</f>
        <v>174840.561757396</v>
      </c>
      <c r="I30" s="256">
        <f>SUM('Balance Sheet'!I53,'Balance Sheet'!I54,'Balance Sheet'!I56,'Balance Sheet'!I57,'Balance Sheet'!I65,'Balance Sheet'!I66,'Balance Sheet'!I68,'Balance Sheet'!I69)-SUM('Balance Sheet'!H53,'Balance Sheet'!H54,'Balance Sheet'!H56,'Balance Sheet'!H57,'Balance Sheet'!H65,'Balance Sheet'!H66,'Balance Sheet'!H68,'Balance Sheet'!H69)</f>
        <v>98052.3218069604</v>
      </c>
      <c r="J30" s="256">
        <f>SUM('Balance Sheet'!J53,'Balance Sheet'!J54,'Balance Sheet'!J56,'Balance Sheet'!J57,'Balance Sheet'!J65,'Balance Sheet'!J66,'Balance Sheet'!J68,'Balance Sheet'!J69)-SUM('Balance Sheet'!I53,'Balance Sheet'!I54,'Balance Sheet'!I56,'Balance Sheet'!I57,'Balance Sheet'!I65,'Balance Sheet'!I66,'Balance Sheet'!I68,'Balance Sheet'!I69)</f>
        <v>103946.453459769</v>
      </c>
      <c r="K30" s="256">
        <f>SUM('Balance Sheet'!K53,'Balance Sheet'!K54,'Balance Sheet'!K56,'Balance Sheet'!K57,'Balance Sheet'!K65,'Balance Sheet'!K66,'Balance Sheet'!K68,'Balance Sheet'!K69)-SUM('Balance Sheet'!J53,'Balance Sheet'!J54,'Balance Sheet'!J56,'Balance Sheet'!J57,'Balance Sheet'!J65,'Balance Sheet'!J66,'Balance Sheet'!J68,'Balance Sheet'!J69)</f>
        <v>99812.7994602495</v>
      </c>
      <c r="L30" s="256">
        <f>SUM('Balance Sheet'!L53,'Balance Sheet'!L54,'Balance Sheet'!L56,'Balance Sheet'!L57,'Balance Sheet'!L65,'Balance Sheet'!L66,'Balance Sheet'!L68,'Balance Sheet'!L69)-SUM('Balance Sheet'!K53,'Balance Sheet'!K54,'Balance Sheet'!K56,'Balance Sheet'!K57,'Balance Sheet'!K65,'Balance Sheet'!K66,'Balance Sheet'!K68,'Balance Sheet'!K69)</f>
        <v>105773.041888287</v>
      </c>
      <c r="M30" s="256">
        <f>SUM('Balance Sheet'!M53,'Balance Sheet'!M54,'Balance Sheet'!M56,'Balance Sheet'!M57,'Balance Sheet'!M65,'Balance Sheet'!M66,'Balance Sheet'!M68,'Balance Sheet'!M69)-SUM('Balance Sheet'!L53,'Balance Sheet'!L54,'Balance Sheet'!L56,'Balance Sheet'!L57,'Balance Sheet'!L65,'Balance Sheet'!L66,'Balance Sheet'!L68,'Balance Sheet'!L69)</f>
        <v>101451.645506657</v>
      </c>
      <c r="N30" s="256">
        <f>SUM('Balance Sheet'!N53,'Balance Sheet'!N54,'Balance Sheet'!N56,'Balance Sheet'!N57,'Balance Sheet'!N65,'Balance Sheet'!N66,'Balance Sheet'!N68,'Balance Sheet'!N69)-SUM('Balance Sheet'!M53,'Balance Sheet'!M54,'Balance Sheet'!M56,'Balance Sheet'!M57,'Balance Sheet'!M65,'Balance Sheet'!M66,'Balance Sheet'!M68,'Balance Sheet'!M69)</f>
        <v>95958.6492180941</v>
      </c>
      <c r="O30" s="256">
        <f>SUM('Balance Sheet'!O53,'Balance Sheet'!O54,'Balance Sheet'!O56,'Balance Sheet'!O57,'Balance Sheet'!O65,'Balance Sheet'!O66,'Balance Sheet'!O68,'Balance Sheet'!O69)-SUM('Balance Sheet'!N53,'Balance Sheet'!N54,'Balance Sheet'!N56,'Balance Sheet'!N57,'Balance Sheet'!N65,'Balance Sheet'!N66,'Balance Sheet'!N68,'Balance Sheet'!N69)</f>
        <v>89102.9255059329</v>
      </c>
      <c r="P30" s="256">
        <f>SUM('Balance Sheet'!P53,'Balance Sheet'!P54,'Balance Sheet'!P56,'Balance Sheet'!P57,'Balance Sheet'!P65,'Balance Sheet'!P66,'Balance Sheet'!P68,'Balance Sheet'!P69)-SUM('Balance Sheet'!O53,'Balance Sheet'!O54,'Balance Sheet'!O56,'Balance Sheet'!O57,'Balance Sheet'!O65,'Balance Sheet'!O66,'Balance Sheet'!O68,'Balance Sheet'!O69)</f>
        <v>79176.4644652982</v>
      </c>
      <c r="Q30" s="256">
        <f>SUM('Balance Sheet'!Q53,'Balance Sheet'!Q54,'Balance Sheet'!Q56,'Balance Sheet'!Q57,'Balance Sheet'!Q65,'Balance Sheet'!Q66,'Balance Sheet'!Q68,'Balance Sheet'!Q69)-SUM('Balance Sheet'!P53,'Balance Sheet'!P54,'Balance Sheet'!P56,'Balance Sheet'!P57,'Balance Sheet'!P65,'Balance Sheet'!P66,'Balance Sheet'!P68,'Balance Sheet'!P69)</f>
        <v>68742.6022731005</v>
      </c>
    </row>
    <row r="31" ht="14.25" customHeight="1" spans="2:17">
      <c r="B31" s="255" t="s">
        <v>206</v>
      </c>
      <c r="C31" s="252">
        <v>-15674</v>
      </c>
      <c r="D31" s="252">
        <v>-31554</v>
      </c>
      <c r="E31" s="252">
        <v>-25398</v>
      </c>
      <c r="F31" s="252">
        <v>-23868</v>
      </c>
      <c r="G31" s="253">
        <v>2665</v>
      </c>
      <c r="H31" s="256">
        <f>-(SUM('Balance Sheet'!H24,'Balance Sheet'!H25,'Balance Sheet'!H26,'Balance Sheet'!H27,'Balance Sheet'!H36,'Balance Sheet'!H37)-SUM('Balance Sheet'!G24,'Balance Sheet'!G25,'Balance Sheet'!G26,'Balance Sheet'!G27,'Balance Sheet'!G36,'Balance Sheet'!G37))</f>
        <v>-524411.770154021</v>
      </c>
      <c r="I31" s="256">
        <f>-(SUM('Balance Sheet'!I24,'Balance Sheet'!I25,'Balance Sheet'!I26,'Balance Sheet'!I27,'Balance Sheet'!I36,'Balance Sheet'!I37)-SUM('Balance Sheet'!H24,'Balance Sheet'!H25,'Balance Sheet'!H26,'Balance Sheet'!H27,'Balance Sheet'!H36,'Balance Sheet'!H37))</f>
        <v>-159407.634163755</v>
      </c>
      <c r="J31" s="256">
        <f>-(SUM('Balance Sheet'!J24,'Balance Sheet'!J25,'Balance Sheet'!J26,'Balance Sheet'!J27,'Balance Sheet'!J36,'Balance Sheet'!J37)-SUM('Balance Sheet'!I24,'Balance Sheet'!I25,'Balance Sheet'!I26,'Balance Sheet'!I27,'Balance Sheet'!I36,'Balance Sheet'!I37))</f>
        <v>-164701.361908165</v>
      </c>
      <c r="K31" s="256">
        <f>-(SUM('Balance Sheet'!K24,'Balance Sheet'!K25,'Balance Sheet'!K26,'Balance Sheet'!K27,'Balance Sheet'!K36,'Balance Sheet'!K37)-SUM('Balance Sheet'!J24,'Balance Sheet'!J25,'Balance Sheet'!J26,'Balance Sheet'!J27,'Balance Sheet'!J36,'Balance Sheet'!J37))</f>
        <v>-167266.633265069</v>
      </c>
      <c r="L31" s="256">
        <f>-(SUM('Balance Sheet'!L24,'Balance Sheet'!L25,'Balance Sheet'!L26,'Balance Sheet'!L27,'Balance Sheet'!L36,'Balance Sheet'!L37)-SUM('Balance Sheet'!K24,'Balance Sheet'!K25,'Balance Sheet'!K26,'Balance Sheet'!K27,'Balance Sheet'!K36,'Balance Sheet'!K37))</f>
        <v>-166696.390102812</v>
      </c>
      <c r="M31" s="256">
        <f>-(SUM('Balance Sheet'!M24,'Balance Sheet'!M25,'Balance Sheet'!M26,'Balance Sheet'!M27,'Balance Sheet'!M36,'Balance Sheet'!M37)-SUM('Balance Sheet'!L24,'Balance Sheet'!L25,'Balance Sheet'!L26,'Balance Sheet'!L27,'Balance Sheet'!L36,'Balance Sheet'!L37))</f>
        <v>-162667.145269095</v>
      </c>
      <c r="N31" s="256">
        <f>-(SUM('Balance Sheet'!N24,'Balance Sheet'!N25,'Balance Sheet'!N26,'Balance Sheet'!N27,'Balance Sheet'!N36,'Balance Sheet'!N37)-SUM('Balance Sheet'!M24,'Balance Sheet'!M25,'Balance Sheet'!M26,'Balance Sheet'!M27,'Balance Sheet'!M36,'Balance Sheet'!M37))</f>
        <v>-154966.040552548</v>
      </c>
      <c r="O31" s="256">
        <f>-(SUM('Balance Sheet'!O24,'Balance Sheet'!O25,'Balance Sheet'!O26,'Balance Sheet'!O27,'Balance Sheet'!O36,'Balance Sheet'!O37)-SUM('Balance Sheet'!N24,'Balance Sheet'!N25,'Balance Sheet'!N26,'Balance Sheet'!N27,'Balance Sheet'!N36,'Balance Sheet'!N37))</f>
        <v>-143513.894319316</v>
      </c>
      <c r="P31" s="256">
        <f>-(SUM('Balance Sheet'!P24,'Balance Sheet'!P25,'Balance Sheet'!P26,'Balance Sheet'!P27,'Balance Sheet'!P36,'Balance Sheet'!P37)-SUM('Balance Sheet'!O24,'Balance Sheet'!O25,'Balance Sheet'!O26,'Balance Sheet'!O27,'Balance Sheet'!O36,'Balance Sheet'!O37))</f>
        <v>-128381.997186214</v>
      </c>
      <c r="Q31" s="256">
        <f>-(SUM('Balance Sheet'!Q24,'Balance Sheet'!Q25,'Balance Sheet'!Q26,'Balance Sheet'!Q27,'Balance Sheet'!Q36,'Balance Sheet'!Q37)-SUM('Balance Sheet'!P24,'Balance Sheet'!P25,'Balance Sheet'!P26,'Balance Sheet'!P27,'Balance Sheet'!P36,'Balance Sheet'!P37))</f>
        <v>-109800.7051066</v>
      </c>
    </row>
    <row r="32" ht="14.25" customHeight="1" spans="2:17">
      <c r="B32" s="251" t="s">
        <v>207</v>
      </c>
      <c r="C32" s="257">
        <v>571920</v>
      </c>
      <c r="D32" s="257">
        <v>691161</v>
      </c>
      <c r="E32" s="257">
        <v>817788</v>
      </c>
      <c r="F32" s="257">
        <v>1027702</v>
      </c>
      <c r="G32" s="258">
        <v>1285135</v>
      </c>
      <c r="H32" s="259">
        <f t="shared" ref="H32:Q32" si="9">H24+SUM(H26:H31)</f>
        <v>1223358.09066705</v>
      </c>
      <c r="I32" s="259">
        <f t="shared" si="9"/>
        <v>1571290.61275008</v>
      </c>
      <c r="J32" s="259">
        <f t="shared" si="9"/>
        <v>1751440.3473342</v>
      </c>
      <c r="K32" s="259">
        <f t="shared" si="9"/>
        <v>1924884.79354403</v>
      </c>
      <c r="L32" s="259">
        <f t="shared" si="9"/>
        <v>2108494.52276068</v>
      </c>
      <c r="M32" s="259">
        <f t="shared" si="9"/>
        <v>2278280.29730578</v>
      </c>
      <c r="N32" s="259">
        <f t="shared" si="9"/>
        <v>2439487.82135984</v>
      </c>
      <c r="O32" s="259">
        <f t="shared" si="9"/>
        <v>2587948.37285092</v>
      </c>
      <c r="P32" s="259">
        <f t="shared" si="9"/>
        <v>2718019.69998789</v>
      </c>
      <c r="Q32" s="259">
        <f t="shared" si="9"/>
        <v>2828541.78901552</v>
      </c>
    </row>
    <row r="33" ht="14.25" customHeight="1" spans="2:17">
      <c r="B33" s="255" t="s">
        <v>208</v>
      </c>
      <c r="C33" s="252">
        <v>-21754</v>
      </c>
      <c r="D33" s="252">
        <v>-37915</v>
      </c>
      <c r="E33" s="252">
        <v>-28806</v>
      </c>
      <c r="F33" s="252">
        <v>-44380</v>
      </c>
      <c r="G33" s="253">
        <v>-62839</v>
      </c>
      <c r="H33" s="256">
        <f>-('Income Statement'!H40)</f>
        <v>-129332.2412982</v>
      </c>
      <c r="I33" s="256">
        <f>-('Income Statement'!I40)</f>
        <v>-157659.950100589</v>
      </c>
      <c r="J33" s="256">
        <f>-('Income Statement'!J40)</f>
        <v>-192714.63270224</v>
      </c>
      <c r="K33" s="256">
        <f>-('Income Statement'!K40)</f>
        <v>-233372.391080574</v>
      </c>
      <c r="L33" s="256">
        <f>-('Income Statement'!L40)</f>
        <v>-263606.26824055</v>
      </c>
      <c r="M33" s="256">
        <f>-('Income Statement'!M40)</f>
        <v>-298108.379790552</v>
      </c>
      <c r="N33" s="256">
        <f>-('Income Statement'!N40)</f>
        <v>-334721.368807444</v>
      </c>
      <c r="O33" s="256">
        <f>-('Income Statement'!O40)</f>
        <v>-363929.056686243</v>
      </c>
      <c r="P33" s="256">
        <f>-('Income Statement'!P40)</f>
        <v>-397158.083885005</v>
      </c>
      <c r="Q33" s="256">
        <f>-('Income Statement'!Q40)</f>
        <v>-417125.385040433</v>
      </c>
    </row>
    <row r="34" ht="14.25" customHeight="1" spans="2:17">
      <c r="B34" s="260" t="s">
        <v>209</v>
      </c>
      <c r="C34" s="261">
        <f t="shared" ref="C34:Q34" si="10">C32+C33</f>
        <v>550166</v>
      </c>
      <c r="D34" s="261">
        <f t="shared" si="10"/>
        <v>653246</v>
      </c>
      <c r="E34" s="261">
        <f t="shared" si="10"/>
        <v>788982</v>
      </c>
      <c r="F34" s="261">
        <f t="shared" si="10"/>
        <v>983322</v>
      </c>
      <c r="G34" s="262">
        <f t="shared" si="10"/>
        <v>1222296</v>
      </c>
      <c r="H34" s="263">
        <f t="shared" si="10"/>
        <v>1094025.84936885</v>
      </c>
      <c r="I34" s="263">
        <f t="shared" si="10"/>
        <v>1413630.66264949</v>
      </c>
      <c r="J34" s="263">
        <f t="shared" si="10"/>
        <v>1558725.71463196</v>
      </c>
      <c r="K34" s="263">
        <f t="shared" si="10"/>
        <v>1691512.40246346</v>
      </c>
      <c r="L34" s="263">
        <f t="shared" si="10"/>
        <v>1844888.25452013</v>
      </c>
      <c r="M34" s="263">
        <f t="shared" si="10"/>
        <v>1980171.91751523</v>
      </c>
      <c r="N34" s="263">
        <f t="shared" si="10"/>
        <v>2104766.45255239</v>
      </c>
      <c r="O34" s="263">
        <f t="shared" si="10"/>
        <v>2224019.31616467</v>
      </c>
      <c r="P34" s="263">
        <f t="shared" si="10"/>
        <v>2320861.61610288</v>
      </c>
      <c r="Q34" s="263">
        <f t="shared" si="10"/>
        <v>2411416.40397508</v>
      </c>
    </row>
    <row r="35" ht="14.25" customHeight="1" spans="2:17">
      <c r="B35" s="264"/>
      <c r="C35" s="252"/>
      <c r="D35" s="252"/>
      <c r="E35" s="252"/>
      <c r="F35" s="252"/>
      <c r="G35" s="253"/>
      <c r="H35" s="254"/>
      <c r="I35" s="254"/>
      <c r="J35" s="254"/>
      <c r="K35" s="254"/>
      <c r="L35" s="254"/>
      <c r="M35" s="254"/>
      <c r="N35" s="254"/>
      <c r="O35" s="254"/>
      <c r="P35" s="254"/>
      <c r="Q35" s="254"/>
    </row>
    <row r="36" ht="23.25" customHeight="1" spans="2:17">
      <c r="B36" s="265" t="s">
        <v>210</v>
      </c>
      <c r="C36" s="252"/>
      <c r="D36" s="252"/>
      <c r="E36" s="252"/>
      <c r="F36" s="252"/>
      <c r="G36" s="253"/>
      <c r="H36" s="254"/>
      <c r="I36" s="254"/>
      <c r="J36" s="254"/>
      <c r="K36" s="254"/>
      <c r="L36" s="254"/>
      <c r="M36" s="254"/>
      <c r="N36" s="254"/>
      <c r="O36" s="254"/>
      <c r="P36" s="254"/>
      <c r="Q36" s="254"/>
    </row>
    <row r="37" ht="14.25" customHeight="1" spans="2:17">
      <c r="B37" s="255" t="s">
        <v>211</v>
      </c>
      <c r="C37" s="252">
        <v>-265406</v>
      </c>
      <c r="D37" s="252">
        <v>-260566</v>
      </c>
      <c r="E37" s="252">
        <v>-381915</v>
      </c>
      <c r="F37" s="252">
        <v>-379077</v>
      </c>
      <c r="G37" s="253">
        <v>-451756</v>
      </c>
      <c r="H37" s="256">
        <f>-FAS!H177</f>
        <v>-1071809.61</v>
      </c>
      <c r="I37" s="256">
        <f>-FAS!I177</f>
        <v>-1082562.6132</v>
      </c>
      <c r="J37" s="256">
        <f>-FAS!J177</f>
        <v>-1093530.676464</v>
      </c>
      <c r="K37" s="256">
        <f>-FAS!K177</f>
        <v>-1310007.38099328</v>
      </c>
      <c r="L37" s="256">
        <f>-FAS!L177</f>
        <v>-1321418.55401314</v>
      </c>
      <c r="M37" s="256">
        <f>-FAS!M177</f>
        <v>-1333057.95049341</v>
      </c>
      <c r="N37" s="256">
        <f>-FAS!N177</f>
        <v>-1632335.12690328</v>
      </c>
      <c r="O37" s="256">
        <f>-FAS!O177</f>
        <v>-1644444.75500134</v>
      </c>
      <c r="P37" s="256">
        <f>-FAS!P177</f>
        <v>-1656796.57566137</v>
      </c>
      <c r="Q37" s="256">
        <f>-FAS!Q177</f>
        <v>-2071762.4215346</v>
      </c>
    </row>
    <row r="38" ht="14.25" customHeight="1" spans="2:17">
      <c r="B38" s="255" t="s">
        <v>212</v>
      </c>
      <c r="C38" s="252">
        <v>13791</v>
      </c>
      <c r="D38" s="252">
        <v>885</v>
      </c>
      <c r="E38" s="252">
        <v>1228</v>
      </c>
      <c r="F38" s="252">
        <v>3382</v>
      </c>
      <c r="G38" s="253">
        <v>11680</v>
      </c>
      <c r="H38" s="256">
        <v>0</v>
      </c>
      <c r="I38" s="256">
        <v>0</v>
      </c>
      <c r="J38" s="256">
        <v>0</v>
      </c>
      <c r="K38" s="256">
        <v>0</v>
      </c>
      <c r="L38" s="256">
        <v>0</v>
      </c>
      <c r="M38" s="256">
        <v>0</v>
      </c>
      <c r="N38" s="256">
        <v>0</v>
      </c>
      <c r="O38" s="256">
        <v>0</v>
      </c>
      <c r="P38" s="256">
        <v>0</v>
      </c>
      <c r="Q38" s="256">
        <v>0</v>
      </c>
    </row>
    <row r="39" ht="14.25" customHeight="1" spans="2:17">
      <c r="B39" s="255" t="s">
        <v>213</v>
      </c>
      <c r="C39" s="252">
        <v>-8593</v>
      </c>
      <c r="D39" s="252">
        <v>-4819</v>
      </c>
      <c r="E39" s="252">
        <v>-18600</v>
      </c>
      <c r="F39" s="252">
        <v>-17722</v>
      </c>
      <c r="G39" s="253">
        <v>-15386</v>
      </c>
      <c r="H39" s="256">
        <v>0</v>
      </c>
      <c r="I39" s="256">
        <v>0</v>
      </c>
      <c r="J39" s="256">
        <v>0</v>
      </c>
      <c r="K39" s="256">
        <v>0</v>
      </c>
      <c r="L39" s="256">
        <v>0</v>
      </c>
      <c r="M39" s="256">
        <v>0</v>
      </c>
      <c r="N39" s="256">
        <v>0</v>
      </c>
      <c r="O39" s="256">
        <v>0</v>
      </c>
      <c r="P39" s="256">
        <v>0</v>
      </c>
      <c r="Q39" s="256">
        <v>0</v>
      </c>
    </row>
    <row r="40" ht="14.25" customHeight="1" spans="2:17">
      <c r="B40" s="255" t="s">
        <v>214</v>
      </c>
      <c r="C40" s="252">
        <v>-174482</v>
      </c>
      <c r="D40" s="252">
        <v>-123684</v>
      </c>
      <c r="E40" s="252">
        <v>-121547</v>
      </c>
      <c r="F40" s="252">
        <v>-213487</v>
      </c>
      <c r="G40" s="253">
        <v>-8546</v>
      </c>
      <c r="H40" s="256">
        <v>0</v>
      </c>
      <c r="I40" s="256">
        <v>0</v>
      </c>
      <c r="J40" s="256">
        <v>0</v>
      </c>
      <c r="K40" s="256">
        <v>0</v>
      </c>
      <c r="L40" s="256">
        <v>0</v>
      </c>
      <c r="M40" s="256">
        <v>0</v>
      </c>
      <c r="N40" s="256">
        <v>0</v>
      </c>
      <c r="O40" s="256">
        <v>0</v>
      </c>
      <c r="P40" s="256">
        <v>0</v>
      </c>
      <c r="Q40" s="256">
        <v>0</v>
      </c>
    </row>
    <row r="41" ht="14.25" customHeight="1" spans="2:17">
      <c r="B41" s="255" t="s">
        <v>215</v>
      </c>
      <c r="C41" s="252">
        <v>10048</v>
      </c>
      <c r="D41" s="252" t="s">
        <v>109</v>
      </c>
      <c r="E41" s="252" t="s">
        <v>109</v>
      </c>
      <c r="F41" s="252" t="s">
        <v>109</v>
      </c>
      <c r="G41" s="253" t="s">
        <v>109</v>
      </c>
      <c r="H41" s="256" t="s">
        <v>348</v>
      </c>
      <c r="I41" s="256" t="s">
        <v>348</v>
      </c>
      <c r="J41" s="256" t="s">
        <v>348</v>
      </c>
      <c r="K41" s="256" t="s">
        <v>348</v>
      </c>
      <c r="L41" s="256" t="s">
        <v>348</v>
      </c>
      <c r="M41" s="256" t="s">
        <v>348</v>
      </c>
      <c r="N41" s="256" t="s">
        <v>348</v>
      </c>
      <c r="O41" s="256" t="s">
        <v>348</v>
      </c>
      <c r="P41" s="256" t="s">
        <v>348</v>
      </c>
      <c r="Q41" s="256" t="s">
        <v>348</v>
      </c>
    </row>
    <row r="42" ht="14.25" customHeight="1" spans="2:17">
      <c r="B42" s="255" t="s">
        <v>349</v>
      </c>
      <c r="C42" s="252">
        <v>998</v>
      </c>
      <c r="D42" s="252" t="s">
        <v>109</v>
      </c>
      <c r="E42" s="252" t="s">
        <v>109</v>
      </c>
      <c r="F42" s="252" t="s">
        <v>109</v>
      </c>
      <c r="G42" s="253" t="s">
        <v>109</v>
      </c>
      <c r="H42" s="266">
        <f>'Balance Sheet'!H72-'Balance Sheet'!H28-SUM('Balance Sheet'!H30:H33)-SUM('Balance Sheet'!H35:H38)-(H34+H55+H74+H78+H79)</f>
        <v>8516.85391490103</v>
      </c>
      <c r="I42" s="266">
        <f>'Balance Sheet'!I72-'Balance Sheet'!I28-SUM('Balance Sheet'!I30:I33)-SUM('Balance Sheet'!I35:I38)-(I34+I55+I74+I78+I79)</f>
        <v>1362.37206924957</v>
      </c>
      <c r="J42" s="266">
        <f>'Balance Sheet'!J72-'Balance Sheet'!J28-SUM('Balance Sheet'!J30:J33)-SUM('Balance Sheet'!J35:J38)-(J34+J55+J74+J78+J79)</f>
        <v>2607.4616986016</v>
      </c>
      <c r="K42" s="266">
        <f>'Balance Sheet'!K72-'Balance Sheet'!K28-SUM('Balance Sheet'!K30:K33)-SUM('Balance Sheet'!K35:K38)-(K34+K55+K74+K78+K79)</f>
        <v>35235.4801252183</v>
      </c>
      <c r="L42" s="266">
        <f>'Balance Sheet'!L72-'Balance Sheet'!L28-SUM('Balance Sheet'!L30:L33)-SUM('Balance Sheet'!L35:L38)-(L34+L55+L74+L78+L79)</f>
        <v>9697.6635795068</v>
      </c>
      <c r="M42" s="266">
        <f>'Balance Sheet'!M72-'Balance Sheet'!M28-SUM('Balance Sheet'!M30:M33)-SUM('Balance Sheet'!M35:M38)-(M34+M55+M74+M78+M79)</f>
        <v>20425.6688604432</v>
      </c>
      <c r="N42" s="266">
        <f>'Balance Sheet'!N72-'Balance Sheet'!N28-SUM('Balance Sheet'!N30:N33)-SUM('Balance Sheet'!N35:N38)-(N34+N55+N74+N78+N79)</f>
        <v>22319.768591173</v>
      </c>
      <c r="O42" s="266">
        <f>'Balance Sheet'!O72-'Balance Sheet'!O28-SUM('Balance Sheet'!O30:O33)-SUM('Balance Sheet'!O35:O38)-(O34+O55+O74+O78+O79)</f>
        <v>26976.2585188005</v>
      </c>
      <c r="P42" s="266">
        <f>'Balance Sheet'!P72-'Balance Sheet'!P28-SUM('Balance Sheet'!P30:P33)-SUM('Balance Sheet'!P35:P38)-(P34+P55+P74+P78+P79)</f>
        <v>32339.0383984905</v>
      </c>
      <c r="Q42" s="266">
        <f>'Balance Sheet'!Q72-'Balance Sheet'!Q28-SUM('Balance Sheet'!Q30:Q33)-SUM('Balance Sheet'!Q35:Q38)-(Q34+Q55+Q74+Q78+Q79)</f>
        <v>29132.4647905353</v>
      </c>
    </row>
    <row r="43" ht="14.25" customHeight="1" spans="2:17">
      <c r="B43" s="255" t="s">
        <v>217</v>
      </c>
      <c r="C43" s="252">
        <v>21298</v>
      </c>
      <c r="D43" s="252">
        <v>-12000</v>
      </c>
      <c r="E43" s="252">
        <v>19015</v>
      </c>
      <c r="F43" s="252">
        <v>7100</v>
      </c>
      <c r="G43" s="253">
        <v>-126994</v>
      </c>
      <c r="H43" s="256">
        <f>-(('Balance Sheet'!H20+'Balance Sheet'!H31)-('Balance Sheet'!G20+'Balance Sheet'!G31))</f>
        <v>134296.932074093</v>
      </c>
      <c r="I43" s="256">
        <f>-(('Balance Sheet'!I20+'Balance Sheet'!I31)-('Balance Sheet'!H20+'Balance Sheet'!H31))</f>
        <v>-1774.00468989889</v>
      </c>
      <c r="J43" s="256">
        <f>-(('Balance Sheet'!J20+'Balance Sheet'!J31)-('Balance Sheet'!I20+'Balance Sheet'!I31))</f>
        <v>-1832.9171622839</v>
      </c>
      <c r="K43" s="256">
        <f>-(('Balance Sheet'!K20+'Balance Sheet'!K31)-('Balance Sheet'!J20+'Balance Sheet'!J31))</f>
        <v>-1861.46537731691</v>
      </c>
      <c r="L43" s="256">
        <f>-(('Balance Sheet'!L20+'Balance Sheet'!L31)-('Balance Sheet'!K20+'Balance Sheet'!K31))</f>
        <v>-1855.119294524</v>
      </c>
      <c r="M43" s="256">
        <f>-(('Balance Sheet'!M20+'Balance Sheet'!M31)-('Balance Sheet'!L20+'Balance Sheet'!L31))</f>
        <v>-1810.27891238507</v>
      </c>
      <c r="N43" s="256">
        <f>-(('Balance Sheet'!N20+'Balance Sheet'!N31)-('Balance Sheet'!M20+'Balance Sheet'!M31))</f>
        <v>-1724.57538911138</v>
      </c>
      <c r="O43" s="256">
        <f>-(('Balance Sheet'!O20+'Balance Sheet'!O31)-('Balance Sheet'!N20+'Balance Sheet'!N31))</f>
        <v>-1597.12753359468</v>
      </c>
      <c r="P43" s="256">
        <f>-(('Balance Sheet'!P20+'Balance Sheet'!P31)-('Balance Sheet'!O20+'Balance Sheet'!O31))</f>
        <v>-1428.72871993677</v>
      </c>
      <c r="Q43" s="256">
        <f>-(('Balance Sheet'!Q20+'Balance Sheet'!Q31)-('Balance Sheet'!P20+'Balance Sheet'!P31))</f>
        <v>-1221.94251759119</v>
      </c>
    </row>
    <row r="44" ht="14.25" customHeight="1" spans="2:17">
      <c r="B44" s="255" t="s">
        <v>218</v>
      </c>
      <c r="C44" s="252" t="s">
        <v>109</v>
      </c>
      <c r="D44" s="252">
        <v>311</v>
      </c>
      <c r="E44" s="252">
        <v>69</v>
      </c>
      <c r="F44" s="252">
        <v>300</v>
      </c>
      <c r="G44" s="253">
        <v>90</v>
      </c>
      <c r="H44" s="256">
        <v>0</v>
      </c>
      <c r="I44" s="256">
        <v>0</v>
      </c>
      <c r="J44" s="256">
        <v>0</v>
      </c>
      <c r="K44" s="256">
        <v>0</v>
      </c>
      <c r="L44" s="256">
        <v>0</v>
      </c>
      <c r="M44" s="256">
        <v>0</v>
      </c>
      <c r="N44" s="256">
        <v>0</v>
      </c>
      <c r="O44" s="256">
        <v>0</v>
      </c>
      <c r="P44" s="256">
        <v>0</v>
      </c>
      <c r="Q44" s="256">
        <v>0</v>
      </c>
    </row>
    <row r="45" ht="14.25" customHeight="1" spans="2:17">
      <c r="B45" s="255" t="s">
        <v>219</v>
      </c>
      <c r="C45" s="252">
        <v>-89</v>
      </c>
      <c r="D45" s="252">
        <v>-323</v>
      </c>
      <c r="E45" s="252">
        <v>-304</v>
      </c>
      <c r="F45" s="252">
        <v>-734</v>
      </c>
      <c r="G45" s="253">
        <v>-1241</v>
      </c>
      <c r="H45" s="256">
        <v>0</v>
      </c>
      <c r="I45" s="256">
        <v>0</v>
      </c>
      <c r="J45" s="256">
        <v>0</v>
      </c>
      <c r="K45" s="256">
        <v>0</v>
      </c>
      <c r="L45" s="256">
        <v>0</v>
      </c>
      <c r="M45" s="256">
        <v>0</v>
      </c>
      <c r="N45" s="256">
        <v>0</v>
      </c>
      <c r="O45" s="256">
        <v>0</v>
      </c>
      <c r="P45" s="256">
        <v>0</v>
      </c>
      <c r="Q45" s="256">
        <v>0</v>
      </c>
    </row>
    <row r="46" ht="14.25" customHeight="1" spans="2:17">
      <c r="B46" s="255" t="s">
        <v>220</v>
      </c>
      <c r="C46" s="252">
        <v>5887</v>
      </c>
      <c r="D46" s="252" t="s">
        <v>109</v>
      </c>
      <c r="E46" s="252" t="s">
        <v>109</v>
      </c>
      <c r="F46" s="252" t="s">
        <v>109</v>
      </c>
      <c r="G46" s="253" t="s">
        <v>109</v>
      </c>
      <c r="H46" s="256" t="s">
        <v>348</v>
      </c>
      <c r="I46" s="256" t="s">
        <v>348</v>
      </c>
      <c r="J46" s="256" t="s">
        <v>348</v>
      </c>
      <c r="K46" s="256" t="s">
        <v>348</v>
      </c>
      <c r="L46" s="256" t="s">
        <v>348</v>
      </c>
      <c r="M46" s="256" t="s">
        <v>348</v>
      </c>
      <c r="N46" s="256" t="s">
        <v>348</v>
      </c>
      <c r="O46" s="256" t="s">
        <v>348</v>
      </c>
      <c r="P46" s="256" t="s">
        <v>348</v>
      </c>
      <c r="Q46" s="256" t="s">
        <v>348</v>
      </c>
    </row>
    <row r="47" ht="14.25" customHeight="1" spans="2:17">
      <c r="B47" s="255" t="s">
        <v>221</v>
      </c>
      <c r="C47" s="252">
        <v>-26208</v>
      </c>
      <c r="D47" s="252">
        <v>-8106</v>
      </c>
      <c r="E47" s="252">
        <v>-300</v>
      </c>
      <c r="F47" s="252">
        <v>-8788</v>
      </c>
      <c r="G47" s="253" t="s">
        <v>109</v>
      </c>
      <c r="H47" s="256">
        <f>-('Balance Sheet'!H18-'Balance Sheet'!G18)</f>
        <v>-312647.208084806</v>
      </c>
      <c r="I47" s="256">
        <f>-('Balance Sheet'!I18-'Balance Sheet'!H18)</f>
        <v>-44465.603205114</v>
      </c>
      <c r="J47" s="256">
        <f>-('Balance Sheet'!J18-'Balance Sheet'!I18)</f>
        <v>-45942.2501586535</v>
      </c>
      <c r="K47" s="256">
        <f>-('Balance Sheet'!K18-'Balance Sheet'!J18)</f>
        <v>-46657.8139951529</v>
      </c>
      <c r="L47" s="256">
        <f>-('Balance Sheet'!L18-'Balance Sheet'!K18)</f>
        <v>-46498.748801592</v>
      </c>
      <c r="M47" s="256">
        <f>-('Balance Sheet'!M18-'Balance Sheet'!L18)</f>
        <v>-45374.8201834166</v>
      </c>
      <c r="N47" s="256">
        <f>-('Balance Sheet'!N18-'Balance Sheet'!M18)</f>
        <v>-43226.6528866403</v>
      </c>
      <c r="O47" s="256">
        <f>-('Balance Sheet'!O18-'Balance Sheet'!N18)</f>
        <v>-40032.1597688849</v>
      </c>
      <c r="P47" s="256">
        <f>-('Balance Sheet'!P18-'Balance Sheet'!O18)</f>
        <v>-35811.226830567</v>
      </c>
      <c r="Q47" s="256">
        <f>-('Balance Sheet'!Q18-'Balance Sheet'!P18)</f>
        <v>-30628.1101938714</v>
      </c>
    </row>
    <row r="48" ht="14.25" customHeight="1" spans="2:17">
      <c r="B48" s="255" t="s">
        <v>222</v>
      </c>
      <c r="C48" s="252">
        <v>8</v>
      </c>
      <c r="D48" s="252" t="s">
        <v>109</v>
      </c>
      <c r="E48" s="252" t="s">
        <v>109</v>
      </c>
      <c r="F48" s="252" t="s">
        <v>109</v>
      </c>
      <c r="G48" s="253">
        <v>907</v>
      </c>
      <c r="H48" s="256" t="s">
        <v>348</v>
      </c>
      <c r="I48" s="256" t="s">
        <v>348</v>
      </c>
      <c r="J48" s="256" t="s">
        <v>348</v>
      </c>
      <c r="K48" s="256" t="s">
        <v>348</v>
      </c>
      <c r="L48" s="256" t="s">
        <v>348</v>
      </c>
      <c r="M48" s="256" t="s">
        <v>348</v>
      </c>
      <c r="N48" s="256" t="s">
        <v>348</v>
      </c>
      <c r="O48" s="256" t="s">
        <v>348</v>
      </c>
      <c r="P48" s="256" t="s">
        <v>348</v>
      </c>
      <c r="Q48" s="256" t="s">
        <v>348</v>
      </c>
    </row>
    <row r="49" ht="14.25" customHeight="1" spans="2:17">
      <c r="B49" s="255" t="s">
        <v>223</v>
      </c>
      <c r="C49" s="252" t="s">
        <v>109</v>
      </c>
      <c r="D49" s="252" t="s">
        <v>109</v>
      </c>
      <c r="E49" s="252">
        <v>-6428</v>
      </c>
      <c r="F49" s="252" t="s">
        <v>109</v>
      </c>
      <c r="G49" s="253" t="s">
        <v>109</v>
      </c>
      <c r="H49" s="256" t="s">
        <v>348</v>
      </c>
      <c r="I49" s="256" t="s">
        <v>348</v>
      </c>
      <c r="J49" s="256" t="s">
        <v>348</v>
      </c>
      <c r="K49" s="256" t="s">
        <v>348</v>
      </c>
      <c r="L49" s="256" t="s">
        <v>348</v>
      </c>
      <c r="M49" s="256" t="s">
        <v>348</v>
      </c>
      <c r="N49" s="256" t="s">
        <v>348</v>
      </c>
      <c r="O49" s="256" t="s">
        <v>348</v>
      </c>
      <c r="P49" s="256" t="s">
        <v>348</v>
      </c>
      <c r="Q49" s="256" t="s">
        <v>348</v>
      </c>
    </row>
    <row r="50" ht="14.25" customHeight="1" spans="2:17">
      <c r="B50" s="255" t="s">
        <v>224</v>
      </c>
      <c r="C50" s="252" t="s">
        <v>109</v>
      </c>
      <c r="D50" s="252" t="s">
        <v>109</v>
      </c>
      <c r="E50" s="252" t="s">
        <v>109</v>
      </c>
      <c r="F50" s="252">
        <v>-69</v>
      </c>
      <c r="G50" s="253" t="s">
        <v>109</v>
      </c>
      <c r="H50" s="256" t="s">
        <v>348</v>
      </c>
      <c r="I50" s="256" t="s">
        <v>348</v>
      </c>
      <c r="J50" s="256" t="s">
        <v>348</v>
      </c>
      <c r="K50" s="256" t="s">
        <v>348</v>
      </c>
      <c r="L50" s="256" t="s">
        <v>348</v>
      </c>
      <c r="M50" s="256" t="s">
        <v>348</v>
      </c>
      <c r="N50" s="256" t="s">
        <v>348</v>
      </c>
      <c r="O50" s="256" t="s">
        <v>348</v>
      </c>
      <c r="P50" s="256" t="s">
        <v>348</v>
      </c>
      <c r="Q50" s="256" t="s">
        <v>348</v>
      </c>
    </row>
    <row r="51" ht="14.25" customHeight="1" spans="2:17">
      <c r="B51" s="255" t="s">
        <v>225</v>
      </c>
      <c r="C51" s="252" t="s">
        <v>109</v>
      </c>
      <c r="D51" s="252" t="s">
        <v>109</v>
      </c>
      <c r="E51" s="252" t="s">
        <v>109</v>
      </c>
      <c r="F51" s="252">
        <v>1023</v>
      </c>
      <c r="G51" s="253" t="s">
        <v>109</v>
      </c>
      <c r="H51" s="256" t="s">
        <v>348</v>
      </c>
      <c r="I51" s="256" t="s">
        <v>348</v>
      </c>
      <c r="J51" s="256" t="s">
        <v>348</v>
      </c>
      <c r="K51" s="256" t="s">
        <v>348</v>
      </c>
      <c r="L51" s="256" t="s">
        <v>348</v>
      </c>
      <c r="M51" s="256" t="s">
        <v>348</v>
      </c>
      <c r="N51" s="256" t="s">
        <v>348</v>
      </c>
      <c r="O51" s="256" t="s">
        <v>348</v>
      </c>
      <c r="P51" s="256" t="s">
        <v>348</v>
      </c>
      <c r="Q51" s="256" t="s">
        <v>348</v>
      </c>
    </row>
    <row r="52" ht="14.25" customHeight="1" spans="2:17">
      <c r="B52" s="255" t="s">
        <v>226</v>
      </c>
      <c r="C52" s="252" t="s">
        <v>109</v>
      </c>
      <c r="D52" s="252" t="s">
        <v>109</v>
      </c>
      <c r="E52" s="252" t="s">
        <v>109</v>
      </c>
      <c r="F52" s="252">
        <v>45</v>
      </c>
      <c r="G52" s="253" t="s">
        <v>109</v>
      </c>
      <c r="H52" s="256" t="s">
        <v>348</v>
      </c>
      <c r="I52" s="256" t="s">
        <v>348</v>
      </c>
      <c r="J52" s="256" t="s">
        <v>348</v>
      </c>
      <c r="K52" s="256" t="s">
        <v>348</v>
      </c>
      <c r="L52" s="256" t="s">
        <v>348</v>
      </c>
      <c r="M52" s="256" t="s">
        <v>348</v>
      </c>
      <c r="N52" s="256" t="s">
        <v>348</v>
      </c>
      <c r="O52" s="256" t="s">
        <v>348</v>
      </c>
      <c r="P52" s="256" t="s">
        <v>348</v>
      </c>
      <c r="Q52" s="256" t="s">
        <v>348</v>
      </c>
    </row>
    <row r="53" ht="14.25" customHeight="1" spans="2:17">
      <c r="B53" s="255" t="s">
        <v>227</v>
      </c>
      <c r="C53" s="252" t="s">
        <v>109</v>
      </c>
      <c r="D53" s="252">
        <v>13992</v>
      </c>
      <c r="E53" s="252">
        <v>1072</v>
      </c>
      <c r="F53" s="252">
        <v>1090</v>
      </c>
      <c r="G53" s="253">
        <v>1813</v>
      </c>
      <c r="H53" s="256">
        <f t="shared" ref="H53:Q53" si="11">G53</f>
        <v>1813</v>
      </c>
      <c r="I53" s="256">
        <f t="shared" si="11"/>
        <v>1813</v>
      </c>
      <c r="J53" s="256">
        <f t="shared" si="11"/>
        <v>1813</v>
      </c>
      <c r="K53" s="256">
        <f t="shared" si="11"/>
        <v>1813</v>
      </c>
      <c r="L53" s="256">
        <f t="shared" si="11"/>
        <v>1813</v>
      </c>
      <c r="M53" s="256">
        <f t="shared" si="11"/>
        <v>1813</v>
      </c>
      <c r="N53" s="256">
        <f t="shared" si="11"/>
        <v>1813</v>
      </c>
      <c r="O53" s="256">
        <f t="shared" si="11"/>
        <v>1813</v>
      </c>
      <c r="P53" s="256">
        <f t="shared" si="11"/>
        <v>1813</v>
      </c>
      <c r="Q53" s="256">
        <f t="shared" si="11"/>
        <v>1813</v>
      </c>
    </row>
    <row r="54" ht="14.25" customHeight="1" spans="2:17">
      <c r="B54" s="255" t="s">
        <v>228</v>
      </c>
      <c r="C54" s="252">
        <v>4052</v>
      </c>
      <c r="D54" s="252">
        <v>3508</v>
      </c>
      <c r="E54" s="252">
        <v>5671</v>
      </c>
      <c r="F54" s="252">
        <v>4239</v>
      </c>
      <c r="G54" s="253">
        <v>4088</v>
      </c>
      <c r="H54" s="256">
        <f t="shared" ref="H54:Q54" si="12">G54</f>
        <v>4088</v>
      </c>
      <c r="I54" s="256">
        <f t="shared" si="12"/>
        <v>4088</v>
      </c>
      <c r="J54" s="256">
        <f t="shared" si="12"/>
        <v>4088</v>
      </c>
      <c r="K54" s="256">
        <f t="shared" si="12"/>
        <v>4088</v>
      </c>
      <c r="L54" s="256">
        <f t="shared" si="12"/>
        <v>4088</v>
      </c>
      <c r="M54" s="256">
        <f t="shared" si="12"/>
        <v>4088</v>
      </c>
      <c r="N54" s="256">
        <f t="shared" si="12"/>
        <v>4088</v>
      </c>
      <c r="O54" s="256">
        <f t="shared" si="12"/>
        <v>4088</v>
      </c>
      <c r="P54" s="256">
        <f t="shared" si="12"/>
        <v>4088</v>
      </c>
      <c r="Q54" s="256">
        <f t="shared" si="12"/>
        <v>4088</v>
      </c>
    </row>
    <row r="55" ht="14.25" customHeight="1" spans="2:17">
      <c r="B55" s="260" t="s">
        <v>229</v>
      </c>
      <c r="C55" s="267">
        <f>SUM(C37:C54)</f>
        <v>-418696</v>
      </c>
      <c r="D55" s="267">
        <f>SUM(D37:D54)</f>
        <v>-390802</v>
      </c>
      <c r="E55" s="267">
        <f>SUM(E37:E54)</f>
        <v>-502039</v>
      </c>
      <c r="F55" s="267">
        <f>SUM(F37:F54)</f>
        <v>-602698</v>
      </c>
      <c r="G55" s="268">
        <f>SUM(G37:G54)</f>
        <v>-585345</v>
      </c>
      <c r="H55" s="263">
        <f t="shared" ref="H55:Q55" si="13">SUM(H37:H41,H43:H54)</f>
        <v>-1244258.88601071</v>
      </c>
      <c r="I55" s="263">
        <f t="shared" si="13"/>
        <v>-1122901.22109501</v>
      </c>
      <c r="J55" s="263">
        <f t="shared" si="13"/>
        <v>-1135404.84378494</v>
      </c>
      <c r="K55" s="263">
        <f t="shared" si="13"/>
        <v>-1352625.66036575</v>
      </c>
      <c r="L55" s="263">
        <f t="shared" si="13"/>
        <v>-1363871.42210926</v>
      </c>
      <c r="M55" s="263">
        <f t="shared" si="13"/>
        <v>-1374342.04958921</v>
      </c>
      <c r="N55" s="263">
        <f t="shared" si="13"/>
        <v>-1671385.35517903</v>
      </c>
      <c r="O55" s="263">
        <f t="shared" si="13"/>
        <v>-1680173.04230382</v>
      </c>
      <c r="P55" s="263">
        <f t="shared" si="13"/>
        <v>-1688135.53121187</v>
      </c>
      <c r="Q55" s="263">
        <f t="shared" si="13"/>
        <v>-2097711.47424606</v>
      </c>
    </row>
    <row r="56" ht="14.25" customHeight="1" spans="2:17">
      <c r="B56" s="264"/>
      <c r="C56" s="252"/>
      <c r="D56" s="252"/>
      <c r="E56" s="252"/>
      <c r="F56" s="252"/>
      <c r="G56" s="253"/>
      <c r="H56" s="254"/>
      <c r="I56" s="254"/>
      <c r="J56" s="254"/>
      <c r="K56" s="254"/>
      <c r="L56" s="254"/>
      <c r="M56" s="254"/>
      <c r="N56" s="254"/>
      <c r="O56" s="254"/>
      <c r="P56" s="254"/>
      <c r="Q56" s="254"/>
    </row>
    <row r="57" ht="23.25" customHeight="1" spans="2:17">
      <c r="B57" s="265" t="s">
        <v>230</v>
      </c>
      <c r="C57" s="252"/>
      <c r="D57" s="252"/>
      <c r="E57" s="252"/>
      <c r="F57" s="252"/>
      <c r="G57" s="253"/>
      <c r="H57" s="254"/>
      <c r="I57" s="254"/>
      <c r="J57" s="254"/>
      <c r="K57" s="254"/>
      <c r="L57" s="254"/>
      <c r="M57" s="254"/>
      <c r="N57" s="254"/>
      <c r="O57" s="254"/>
      <c r="P57" s="254"/>
      <c r="Q57" s="254"/>
    </row>
    <row r="58" ht="14.25" customHeight="1" spans="2:17">
      <c r="B58" s="255" t="s">
        <v>231</v>
      </c>
      <c r="C58" s="252">
        <v>52226</v>
      </c>
      <c r="D58" s="252">
        <v>52242</v>
      </c>
      <c r="E58" s="252" t="s">
        <v>109</v>
      </c>
      <c r="F58" s="252" t="s">
        <v>109</v>
      </c>
      <c r="G58" s="253">
        <v>156949</v>
      </c>
      <c r="H58" s="256" t="s">
        <v>348</v>
      </c>
      <c r="I58" s="256" t="s">
        <v>348</v>
      </c>
      <c r="J58" s="256" t="s">
        <v>348</v>
      </c>
      <c r="K58" s="256" t="s">
        <v>348</v>
      </c>
      <c r="L58" s="256" t="s">
        <v>348</v>
      </c>
      <c r="M58" s="256" t="s">
        <v>348</v>
      </c>
      <c r="N58" s="256" t="s">
        <v>348</v>
      </c>
      <c r="O58" s="256" t="s">
        <v>348</v>
      </c>
      <c r="P58" s="256" t="s">
        <v>348</v>
      </c>
      <c r="Q58" s="256" t="s">
        <v>348</v>
      </c>
    </row>
    <row r="59" ht="14.25" customHeight="1" spans="2:17">
      <c r="B59" s="255" t="s">
        <v>232</v>
      </c>
      <c r="C59" s="252">
        <v>254785</v>
      </c>
      <c r="D59" s="252">
        <v>136077</v>
      </c>
      <c r="E59" s="252">
        <v>67123</v>
      </c>
      <c r="F59" s="252">
        <v>235597</v>
      </c>
      <c r="G59" s="253">
        <v>140131</v>
      </c>
      <c r="H59" s="256">
        <f>('Balance Sheet'!H50+'Balance Sheet'!H61)-('Balance Sheet'!G50+'Balance Sheet'!G61)</f>
        <v>375102.994799157</v>
      </c>
      <c r="I59" s="256">
        <f>('Balance Sheet'!I50+'Balance Sheet'!I61)-('Balance Sheet'!H50+'Balance Sheet'!H61)</f>
        <v>200360.238724527</v>
      </c>
      <c r="J59" s="256">
        <f>('Balance Sheet'!J50+'Balance Sheet'!J61)-('Balance Sheet'!I50+'Balance Sheet'!I61)</f>
        <v>207013.951140352</v>
      </c>
      <c r="K59" s="256">
        <f>('Balance Sheet'!K50+'Balance Sheet'!K61)-('Balance Sheet'!J50+'Balance Sheet'!J61)</f>
        <v>210238.253314829</v>
      </c>
      <c r="L59" s="256">
        <f>('Balance Sheet'!L50+'Balance Sheet'!L61)-('Balance Sheet'!K50+'Balance Sheet'!K61)</f>
        <v>209521.51188196</v>
      </c>
      <c r="M59" s="256">
        <f>('Balance Sheet'!M50+'Balance Sheet'!M61)-('Balance Sheet'!L50+'Balance Sheet'!L61)</f>
        <v>204457.134250374</v>
      </c>
      <c r="N59" s="256">
        <f>('Balance Sheet'!N50+'Balance Sheet'!N61)-('Balance Sheet'!M50+'Balance Sheet'!M61)</f>
        <v>194777.577888192</v>
      </c>
      <c r="O59" s="256">
        <f>('Balance Sheet'!O50+'Balance Sheet'!O61)-('Balance Sheet'!N50+'Balance Sheet'!N61)</f>
        <v>180383.31901072</v>
      </c>
      <c r="P59" s="256">
        <f>('Balance Sheet'!P50+'Balance Sheet'!P61)-('Balance Sheet'!O50+'Balance Sheet'!O61)</f>
        <v>161363.963144559</v>
      </c>
      <c r="Q59" s="256">
        <f>('Balance Sheet'!Q50+'Balance Sheet'!Q61)-('Balance Sheet'!P50+'Balance Sheet'!P61)</f>
        <v>138009.045819475</v>
      </c>
    </row>
    <row r="60" ht="14.25" customHeight="1" spans="2:17">
      <c r="B60" s="255" t="s">
        <v>233</v>
      </c>
      <c r="C60" s="252">
        <v>-337212</v>
      </c>
      <c r="D60" s="252">
        <v>-178227</v>
      </c>
      <c r="E60" s="252">
        <v>-100803</v>
      </c>
      <c r="F60" s="252">
        <v>-178594</v>
      </c>
      <c r="G60" s="253">
        <v>-420773</v>
      </c>
      <c r="H60" s="256">
        <v>0</v>
      </c>
      <c r="I60" s="256">
        <v>0</v>
      </c>
      <c r="J60" s="256">
        <v>0</v>
      </c>
      <c r="K60" s="256">
        <v>0</v>
      </c>
      <c r="L60" s="256">
        <v>0</v>
      </c>
      <c r="M60" s="256">
        <v>0</v>
      </c>
      <c r="N60" s="256">
        <v>0</v>
      </c>
      <c r="O60" s="256">
        <v>0</v>
      </c>
      <c r="P60" s="256">
        <v>0</v>
      </c>
      <c r="Q60" s="256">
        <v>0</v>
      </c>
    </row>
    <row r="61" ht="14.25" customHeight="1" spans="2:17">
      <c r="B61" s="255" t="s">
        <v>234</v>
      </c>
      <c r="C61" s="252">
        <v>-76427</v>
      </c>
      <c r="D61" s="252">
        <v>-75986</v>
      </c>
      <c r="E61" s="252">
        <v>-78552</v>
      </c>
      <c r="F61" s="252">
        <v>-71538</v>
      </c>
      <c r="G61" s="253">
        <v>-67197</v>
      </c>
      <c r="H61" s="256">
        <f>('Balance Sheet'!H51+'Balance Sheet'!H62)-('Balance Sheet'!G51+'Balance Sheet'!G62)</f>
        <v>229203.712768815</v>
      </c>
      <c r="I61" s="256">
        <f>('Balance Sheet'!I51+'Balance Sheet'!I62)-('Balance Sheet'!H51+'Balance Sheet'!H62)</f>
        <v>121665.714310033</v>
      </c>
      <c r="J61" s="256">
        <f>('Balance Sheet'!J51+'Balance Sheet'!J62)-('Balance Sheet'!I51+'Balance Sheet'!I62)</f>
        <v>125706.080198187</v>
      </c>
      <c r="K61" s="256">
        <f>('Balance Sheet'!K51+'Balance Sheet'!K62)-('Balance Sheet'!J51+'Balance Sheet'!J62)</f>
        <v>127663.988761814</v>
      </c>
      <c r="L61" s="256">
        <f>('Balance Sheet'!L51+'Balance Sheet'!L62)-('Balance Sheet'!K51+'Balance Sheet'!K62)</f>
        <v>127228.758403931</v>
      </c>
      <c r="M61" s="256">
        <f>('Balance Sheet'!M51+'Balance Sheet'!M62)-('Balance Sheet'!L51+'Balance Sheet'!L62)</f>
        <v>124153.491943853</v>
      </c>
      <c r="N61" s="256">
        <f>('Balance Sheet'!N51+'Balance Sheet'!N62)-('Balance Sheet'!M51+'Balance Sheet'!M62)</f>
        <v>118275.728239308</v>
      </c>
      <c r="O61" s="256">
        <f>('Balance Sheet'!O51+'Balance Sheet'!O62)-('Balance Sheet'!N51+'Balance Sheet'!N62)</f>
        <v>109535.032982407</v>
      </c>
      <c r="P61" s="256">
        <f>('Balance Sheet'!P51+'Balance Sheet'!P62)-('Balance Sheet'!O51+'Balance Sheet'!O62)</f>
        <v>97985.8177693284</v>
      </c>
      <c r="Q61" s="256">
        <f>('Balance Sheet'!Q51+'Balance Sheet'!Q62)-('Balance Sheet'!P51+'Balance Sheet'!P62)</f>
        <v>83803.8986565506</v>
      </c>
    </row>
    <row r="62" ht="14.25" customHeight="1" spans="2:17">
      <c r="B62" s="255" t="s">
        <v>235</v>
      </c>
      <c r="C62" s="252">
        <v>63649</v>
      </c>
      <c r="D62" s="252">
        <v>-70972</v>
      </c>
      <c r="E62" s="252">
        <v>15516</v>
      </c>
      <c r="F62" s="252">
        <v>36927</v>
      </c>
      <c r="G62" s="253">
        <v>-44087</v>
      </c>
      <c r="H62" s="256">
        <v>0</v>
      </c>
      <c r="I62" s="256">
        <v>0</v>
      </c>
      <c r="J62" s="256">
        <v>0</v>
      </c>
      <c r="K62" s="256">
        <v>0</v>
      </c>
      <c r="L62" s="256">
        <v>0</v>
      </c>
      <c r="M62" s="256">
        <v>0</v>
      </c>
      <c r="N62" s="256">
        <v>0</v>
      </c>
      <c r="O62" s="256">
        <v>0</v>
      </c>
      <c r="P62" s="256">
        <v>0</v>
      </c>
      <c r="Q62" s="256">
        <v>0</v>
      </c>
    </row>
    <row r="63" ht="14.25" customHeight="1" spans="2:17">
      <c r="B63" s="255" t="s">
        <v>236</v>
      </c>
      <c r="C63" s="252">
        <v>-598</v>
      </c>
      <c r="D63" s="252">
        <v>-499</v>
      </c>
      <c r="E63" s="252">
        <v>-1368</v>
      </c>
      <c r="F63" s="252">
        <v>-3675</v>
      </c>
      <c r="G63" s="253">
        <v>-1467</v>
      </c>
      <c r="H63" s="256">
        <v>0</v>
      </c>
      <c r="I63" s="256">
        <v>0</v>
      </c>
      <c r="J63" s="256">
        <v>0</v>
      </c>
      <c r="K63" s="256">
        <v>0</v>
      </c>
      <c r="L63" s="256">
        <v>0</v>
      </c>
      <c r="M63" s="256">
        <v>0</v>
      </c>
      <c r="N63" s="256">
        <v>0</v>
      </c>
      <c r="O63" s="256">
        <v>0</v>
      </c>
      <c r="P63" s="256">
        <v>0</v>
      </c>
      <c r="Q63" s="256">
        <v>0</v>
      </c>
    </row>
    <row r="64" ht="14.25" customHeight="1" spans="2:17">
      <c r="B64" s="255" t="s">
        <v>237</v>
      </c>
      <c r="C64" s="252">
        <v>-131588</v>
      </c>
      <c r="D64" s="252">
        <v>-66893</v>
      </c>
      <c r="E64" s="252">
        <v>-140263</v>
      </c>
      <c r="F64" s="252">
        <v>-175476</v>
      </c>
      <c r="G64" s="253">
        <v>-148876</v>
      </c>
      <c r="H64" s="256">
        <f>-('Income Statement'!H31)</f>
        <v>-332763.810795288</v>
      </c>
      <c r="I64" s="256">
        <f>-('Income Statement'!I31)</f>
        <v>-374648.422398043</v>
      </c>
      <c r="J64" s="256">
        <f>-('Income Statement'!J31)</f>
        <v>-417923.969457989</v>
      </c>
      <c r="K64" s="256">
        <f>-('Income Statement'!K31)</f>
        <v>-461873.545682242</v>
      </c>
      <c r="L64" s="256">
        <f>-('Income Statement'!L31)</f>
        <v>-505673.289600813</v>
      </c>
      <c r="M64" s="256">
        <f>-('Income Statement'!M31)</f>
        <v>-548414.342975495</v>
      </c>
      <c r="N64" s="256">
        <f>-('Income Statement'!N31)</f>
        <v>-589131.918731576</v>
      </c>
      <c r="O64" s="256">
        <f>-('Income Statement'!O31)</f>
        <v>-626840.424693018</v>
      </c>
      <c r="P64" s="256">
        <f>-('Income Statement'!P31)</f>
        <v>-660573.000407721</v>
      </c>
      <c r="Q64" s="256">
        <f>-('Income Statement'!Q31)</f>
        <v>-689423.311819872</v>
      </c>
    </row>
    <row r="65" ht="14.25" customHeight="1" spans="2:17">
      <c r="B65" s="255" t="s">
        <v>238</v>
      </c>
      <c r="C65" s="252">
        <v>7</v>
      </c>
      <c r="D65" s="252">
        <v>3</v>
      </c>
      <c r="E65" s="252">
        <v>6</v>
      </c>
      <c r="F65" s="252">
        <v>14</v>
      </c>
      <c r="G65" s="253">
        <v>20</v>
      </c>
      <c r="H65" s="256" t="s">
        <v>348</v>
      </c>
      <c r="I65" s="256" t="s">
        <v>348</v>
      </c>
      <c r="J65" s="256" t="s">
        <v>348</v>
      </c>
      <c r="K65" s="256" t="s">
        <v>348</v>
      </c>
      <c r="L65" s="256" t="s">
        <v>348</v>
      </c>
      <c r="M65" s="256" t="s">
        <v>348</v>
      </c>
      <c r="N65" s="256" t="s">
        <v>348</v>
      </c>
      <c r="O65" s="256" t="s">
        <v>348</v>
      </c>
      <c r="P65" s="256" t="s">
        <v>348</v>
      </c>
      <c r="Q65" s="256" t="s">
        <v>348</v>
      </c>
    </row>
    <row r="66" ht="14.25" customHeight="1" spans="2:17">
      <c r="B66" s="255" t="s">
        <v>239</v>
      </c>
      <c r="C66" s="252">
        <v>-14438</v>
      </c>
      <c r="D66" s="252">
        <v>-35898</v>
      </c>
      <c r="E66" s="252">
        <v>-41845</v>
      </c>
      <c r="F66" s="252">
        <v>-69349</v>
      </c>
      <c r="G66" s="253">
        <v>-113277</v>
      </c>
      <c r="H66" s="256">
        <f>-('Income Statement'!H47)</f>
        <v>-85851.6176454936</v>
      </c>
      <c r="I66" s="256">
        <f>-('Income Statement'!I47)</f>
        <v>-103863.989013261</v>
      </c>
      <c r="J66" s="256">
        <f>-('Income Statement'!J47)</f>
        <v>-125655.503176334</v>
      </c>
      <c r="K66" s="256">
        <f>-('Income Statement'!K47)</f>
        <v>-152019.05519421</v>
      </c>
      <c r="L66" s="256">
        <f>-('Income Statement'!L47)</f>
        <v>-183913.895993159</v>
      </c>
      <c r="M66" s="256">
        <f>-('Income Statement'!M47)</f>
        <v>-222500.535187319</v>
      </c>
      <c r="N66" s="256">
        <f>-('Income Statement'!N47)</f>
        <v>-269182.966797055</v>
      </c>
      <c r="O66" s="256">
        <f>-('Income Statement'!O47)</f>
        <v>-325659.754268286</v>
      </c>
      <c r="P66" s="256">
        <f>-('Income Statement'!P47)</f>
        <v>-393985.833546585</v>
      </c>
      <c r="Q66" s="256">
        <f>-('Income Statement'!Q47)</f>
        <v>-476647.282941568</v>
      </c>
    </row>
    <row r="67" ht="28.5" customHeight="1" spans="2:17">
      <c r="B67" s="255" t="s">
        <v>240</v>
      </c>
      <c r="C67" s="252">
        <v>10880</v>
      </c>
      <c r="D67" s="252" t="s">
        <v>109</v>
      </c>
      <c r="E67" s="252" t="s">
        <v>109</v>
      </c>
      <c r="F67" s="252" t="s">
        <v>109</v>
      </c>
      <c r="G67" s="253" t="s">
        <v>109</v>
      </c>
      <c r="H67" s="256" t="s">
        <v>348</v>
      </c>
      <c r="I67" s="256" t="s">
        <v>348</v>
      </c>
      <c r="J67" s="256" t="s">
        <v>348</v>
      </c>
      <c r="K67" s="256" t="s">
        <v>348</v>
      </c>
      <c r="L67" s="256" t="s">
        <v>348</v>
      </c>
      <c r="M67" s="256" t="s">
        <v>348</v>
      </c>
      <c r="N67" s="256" t="s">
        <v>348</v>
      </c>
      <c r="O67" s="256" t="s">
        <v>348</v>
      </c>
      <c r="P67" s="256" t="s">
        <v>348</v>
      </c>
      <c r="Q67" s="256" t="s">
        <v>348</v>
      </c>
    </row>
    <row r="68" ht="14.25" customHeight="1" spans="2:17">
      <c r="B68" s="255" t="s">
        <v>241</v>
      </c>
      <c r="C68" s="252" t="s">
        <v>109</v>
      </c>
      <c r="D68" s="252" t="s">
        <v>109</v>
      </c>
      <c r="E68" s="252" t="s">
        <v>109</v>
      </c>
      <c r="F68" s="252" t="s">
        <v>109</v>
      </c>
      <c r="G68" s="253">
        <v>75</v>
      </c>
      <c r="H68" s="256" t="s">
        <v>348</v>
      </c>
      <c r="I68" s="256" t="s">
        <v>348</v>
      </c>
      <c r="J68" s="256" t="s">
        <v>348</v>
      </c>
      <c r="K68" s="256" t="s">
        <v>348</v>
      </c>
      <c r="L68" s="256" t="s">
        <v>348</v>
      </c>
      <c r="M68" s="256" t="s">
        <v>348</v>
      </c>
      <c r="N68" s="256" t="s">
        <v>348</v>
      </c>
      <c r="O68" s="256" t="s">
        <v>348</v>
      </c>
      <c r="P68" s="256" t="s">
        <v>348</v>
      </c>
      <c r="Q68" s="256" t="s">
        <v>348</v>
      </c>
    </row>
    <row r="69" ht="14.25" customHeight="1" spans="2:17">
      <c r="B69" s="255" t="s">
        <v>242</v>
      </c>
      <c r="C69" s="252" t="s">
        <v>109</v>
      </c>
      <c r="D69" s="252" t="s">
        <v>109</v>
      </c>
      <c r="E69" s="252" t="s">
        <v>109</v>
      </c>
      <c r="F69" s="252">
        <v>-86292</v>
      </c>
      <c r="G69" s="253" t="s">
        <v>109</v>
      </c>
      <c r="H69" s="256" t="s">
        <v>348</v>
      </c>
      <c r="I69" s="256" t="s">
        <v>348</v>
      </c>
      <c r="J69" s="256" t="s">
        <v>348</v>
      </c>
      <c r="K69" s="256" t="s">
        <v>348</v>
      </c>
      <c r="L69" s="256" t="s">
        <v>348</v>
      </c>
      <c r="M69" s="256" t="s">
        <v>348</v>
      </c>
      <c r="N69" s="256" t="s">
        <v>348</v>
      </c>
      <c r="O69" s="256" t="s">
        <v>348</v>
      </c>
      <c r="P69" s="256" t="s">
        <v>348</v>
      </c>
      <c r="Q69" s="256" t="s">
        <v>348</v>
      </c>
    </row>
    <row r="70" ht="14.25" customHeight="1" spans="2:17">
      <c r="B70" s="255" t="s">
        <v>243</v>
      </c>
      <c r="C70" s="252" t="s">
        <v>109</v>
      </c>
      <c r="D70" s="252" t="s">
        <v>109</v>
      </c>
      <c r="E70" s="252">
        <v>-1693</v>
      </c>
      <c r="F70" s="252" t="s">
        <v>109</v>
      </c>
      <c r="G70" s="253" t="s">
        <v>109</v>
      </c>
      <c r="H70" s="256" t="s">
        <v>348</v>
      </c>
      <c r="I70" s="256" t="s">
        <v>348</v>
      </c>
      <c r="J70" s="256" t="s">
        <v>348</v>
      </c>
      <c r="K70" s="256" t="s">
        <v>348</v>
      </c>
      <c r="L70" s="256" t="s">
        <v>348</v>
      </c>
      <c r="M70" s="256" t="s">
        <v>348</v>
      </c>
      <c r="N70" s="256" t="s">
        <v>348</v>
      </c>
      <c r="O70" s="256" t="s">
        <v>348</v>
      </c>
      <c r="P70" s="256" t="s">
        <v>348</v>
      </c>
      <c r="Q70" s="256" t="s">
        <v>348</v>
      </c>
    </row>
    <row r="71" ht="14.25" customHeight="1" spans="2:17">
      <c r="B71" s="255" t="s">
        <v>244</v>
      </c>
      <c r="C71" s="252">
        <v>-13523</v>
      </c>
      <c r="D71" s="252">
        <v>-641</v>
      </c>
      <c r="E71" s="252">
        <v>-870</v>
      </c>
      <c r="F71" s="252">
        <v>-37348</v>
      </c>
      <c r="G71" s="253">
        <v>-19056</v>
      </c>
      <c r="H71" s="256">
        <v>0</v>
      </c>
      <c r="I71" s="256">
        <v>0</v>
      </c>
      <c r="J71" s="256">
        <v>0</v>
      </c>
      <c r="K71" s="256">
        <v>0</v>
      </c>
      <c r="L71" s="256">
        <v>0</v>
      </c>
      <c r="M71" s="256">
        <v>0</v>
      </c>
      <c r="N71" s="256">
        <v>0</v>
      </c>
      <c r="O71" s="256">
        <v>0</v>
      </c>
      <c r="P71" s="256">
        <v>0</v>
      </c>
      <c r="Q71" s="256">
        <v>0</v>
      </c>
    </row>
    <row r="72" ht="14.25" customHeight="1" spans="2:17">
      <c r="B72" s="255" t="s">
        <v>245</v>
      </c>
      <c r="C72" s="252">
        <v>-704</v>
      </c>
      <c r="D72" s="252">
        <v>-3901</v>
      </c>
      <c r="E72" s="252">
        <v>573</v>
      </c>
      <c r="F72" s="252">
        <v>-16427</v>
      </c>
      <c r="G72" s="253">
        <v>-5368</v>
      </c>
      <c r="H72" s="256">
        <v>0</v>
      </c>
      <c r="I72" s="256">
        <v>0</v>
      </c>
      <c r="J72" s="256">
        <v>0</v>
      </c>
      <c r="K72" s="256">
        <v>0</v>
      </c>
      <c r="L72" s="256">
        <v>0</v>
      </c>
      <c r="M72" s="256">
        <v>0</v>
      </c>
      <c r="N72" s="256">
        <v>0</v>
      </c>
      <c r="O72" s="256">
        <v>0</v>
      </c>
      <c r="P72" s="256">
        <v>0</v>
      </c>
      <c r="Q72" s="256">
        <v>0</v>
      </c>
    </row>
    <row r="73" ht="14.25" customHeight="1" spans="2:17">
      <c r="B73" s="255" t="s">
        <v>246</v>
      </c>
      <c r="C73" s="252">
        <v>40911</v>
      </c>
      <c r="D73" s="252" t="s">
        <v>109</v>
      </c>
      <c r="E73" s="252">
        <v>4391</v>
      </c>
      <c r="F73" s="252">
        <v>829</v>
      </c>
      <c r="G73" s="253" t="s">
        <v>109</v>
      </c>
      <c r="H73" s="269" t="s">
        <v>348</v>
      </c>
      <c r="I73" s="270" t="s">
        <v>348</v>
      </c>
      <c r="J73" s="256" t="s">
        <v>348</v>
      </c>
      <c r="K73" s="256" t="s">
        <v>348</v>
      </c>
      <c r="L73" s="256" t="s">
        <v>348</v>
      </c>
      <c r="M73" s="256" t="s">
        <v>348</v>
      </c>
      <c r="N73" s="256" t="s">
        <v>348</v>
      </c>
      <c r="O73" s="256" t="s">
        <v>348</v>
      </c>
      <c r="P73" s="256" t="s">
        <v>348</v>
      </c>
      <c r="Q73" s="256" t="s">
        <v>348</v>
      </c>
    </row>
    <row r="74" ht="14.25" customHeight="1" spans="2:17">
      <c r="B74" s="260" t="s">
        <v>247</v>
      </c>
      <c r="C74" s="267">
        <f t="shared" ref="C74:Q74" si="14">SUM(C58:C73)</f>
        <v>-152032</v>
      </c>
      <c r="D74" s="267">
        <f t="shared" si="14"/>
        <v>-244695</v>
      </c>
      <c r="E74" s="267">
        <f t="shared" si="14"/>
        <v>-277785</v>
      </c>
      <c r="F74" s="267">
        <f t="shared" si="14"/>
        <v>-365332</v>
      </c>
      <c r="G74" s="268">
        <f t="shared" si="14"/>
        <v>-522926</v>
      </c>
      <c r="H74" s="271">
        <f t="shared" si="14"/>
        <v>185691.279127191</v>
      </c>
      <c r="I74" s="272">
        <f t="shared" si="14"/>
        <v>-156486.458376743</v>
      </c>
      <c r="J74" s="273">
        <f t="shared" si="14"/>
        <v>-210859.441295784</v>
      </c>
      <c r="K74" s="271">
        <f t="shared" si="14"/>
        <v>-275990.35879981</v>
      </c>
      <c r="L74" s="273">
        <f t="shared" si="14"/>
        <v>-352836.915308081</v>
      </c>
      <c r="M74" s="271">
        <f t="shared" si="14"/>
        <v>-442304.251968589</v>
      </c>
      <c r="N74" s="273">
        <f t="shared" si="14"/>
        <v>-545261.579401131</v>
      </c>
      <c r="O74" s="271">
        <f t="shared" si="14"/>
        <v>-662581.826968178</v>
      </c>
      <c r="P74" s="272">
        <f t="shared" si="14"/>
        <v>-795209.053040419</v>
      </c>
      <c r="Q74" s="273">
        <f t="shared" si="14"/>
        <v>-944257.650285414</v>
      </c>
    </row>
    <row r="75" ht="14.25" customHeight="1" spans="2:17">
      <c r="B75" s="264"/>
      <c r="C75" s="252"/>
      <c r="D75" s="252"/>
      <c r="E75" s="252"/>
      <c r="F75" s="252"/>
      <c r="G75" s="253"/>
      <c r="H75" s="274"/>
      <c r="I75" s="275"/>
      <c r="J75" s="276"/>
      <c r="K75" s="274"/>
      <c r="L75" s="276"/>
      <c r="M75" s="274"/>
      <c r="N75" s="276"/>
      <c r="O75" s="274"/>
      <c r="P75" s="275"/>
      <c r="Q75" s="276"/>
    </row>
    <row r="76" ht="14.25" customHeight="1" spans="2:17">
      <c r="B76" s="277" t="s">
        <v>248</v>
      </c>
      <c r="C76" s="267">
        <f>SUM(C34,C55,C74)</f>
        <v>-20562</v>
      </c>
      <c r="D76" s="267">
        <f>SUM(D34,D55,D74)</f>
        <v>17749</v>
      </c>
      <c r="E76" s="267">
        <f>SUM(E34,E55,E74)</f>
        <v>9158</v>
      </c>
      <c r="F76" s="267">
        <f>SUM(F34,F55,F74)</f>
        <v>15292</v>
      </c>
      <c r="G76" s="268">
        <f>SUM(G34,G55,G74)</f>
        <v>114025</v>
      </c>
      <c r="H76" s="271">
        <f t="shared" ref="H76:Q76" si="15">SUM(H34,H55,H74,H42)</f>
        <v>43975.0964002323</v>
      </c>
      <c r="I76" s="272">
        <f t="shared" si="15"/>
        <v>135605.355246986</v>
      </c>
      <c r="J76" s="273">
        <f t="shared" si="15"/>
        <v>215068.891249841</v>
      </c>
      <c r="K76" s="271">
        <f t="shared" si="15"/>
        <v>98131.8634231163</v>
      </c>
      <c r="L76" s="273">
        <f t="shared" si="15"/>
        <v>137877.580682299</v>
      </c>
      <c r="M76" s="271">
        <f t="shared" si="15"/>
        <v>183951.284817869</v>
      </c>
      <c r="N76" s="273">
        <f t="shared" si="15"/>
        <v>-89560.7134365942</v>
      </c>
      <c r="O76" s="271">
        <f t="shared" si="15"/>
        <v>-91759.2945885276</v>
      </c>
      <c r="P76" s="272">
        <f t="shared" si="15"/>
        <v>-130143.929750916</v>
      </c>
      <c r="Q76" s="273">
        <f t="shared" si="15"/>
        <v>-601420.255765856</v>
      </c>
    </row>
    <row r="77" ht="14.25" customHeight="1" spans="2:17">
      <c r="B77" s="278"/>
      <c r="C77" s="14"/>
      <c r="D77" s="55"/>
      <c r="E77" s="55"/>
      <c r="F77" s="55"/>
      <c r="G77" s="55"/>
      <c r="H77" s="275"/>
      <c r="I77" s="275"/>
      <c r="J77" s="276"/>
      <c r="K77" s="274"/>
      <c r="L77" s="276"/>
      <c r="M77" s="274"/>
      <c r="N77" s="276"/>
      <c r="O77" s="274"/>
      <c r="P77" s="275"/>
      <c r="Q77" s="276"/>
    </row>
    <row r="78" ht="14.25" customHeight="1" spans="2:17">
      <c r="B78" s="251" t="s">
        <v>249</v>
      </c>
      <c r="C78" s="279">
        <v>3919</v>
      </c>
      <c r="D78" s="279">
        <v>-1522</v>
      </c>
      <c r="E78" s="279">
        <v>-8851</v>
      </c>
      <c r="F78" s="279">
        <v>718</v>
      </c>
      <c r="G78" s="279">
        <v>23291</v>
      </c>
      <c r="H78" s="280">
        <f t="shared" ref="H78:Q78" si="16">G78</f>
        <v>23291</v>
      </c>
      <c r="I78" s="280">
        <f t="shared" si="16"/>
        <v>23291</v>
      </c>
      <c r="J78" s="281">
        <f t="shared" si="16"/>
        <v>23291</v>
      </c>
      <c r="K78" s="282">
        <f t="shared" si="16"/>
        <v>23291</v>
      </c>
      <c r="L78" s="281">
        <f t="shared" si="16"/>
        <v>23291</v>
      </c>
      <c r="M78" s="282">
        <f t="shared" si="16"/>
        <v>23291</v>
      </c>
      <c r="N78" s="281">
        <f t="shared" si="16"/>
        <v>23291</v>
      </c>
      <c r="O78" s="282">
        <f t="shared" si="16"/>
        <v>23291</v>
      </c>
      <c r="P78" s="280">
        <f t="shared" si="16"/>
        <v>23291</v>
      </c>
      <c r="Q78" s="281">
        <f t="shared" si="16"/>
        <v>23291</v>
      </c>
    </row>
    <row r="79" ht="14.25" customHeight="1" spans="2:17">
      <c r="B79" s="255" t="s">
        <v>250</v>
      </c>
      <c r="C79" s="279">
        <v>90630</v>
      </c>
      <c r="D79" s="279">
        <f>C80</f>
        <v>73987</v>
      </c>
      <c r="E79" s="279">
        <f>D80</f>
        <v>90214</v>
      </c>
      <c r="F79" s="279">
        <f>E80</f>
        <v>90521</v>
      </c>
      <c r="G79" s="279">
        <f>F80</f>
        <v>106531</v>
      </c>
      <c r="H79" s="280">
        <f>'Balance Sheet'!G34</f>
        <v>137222</v>
      </c>
      <c r="I79" s="280">
        <f t="shared" ref="I79:Q79" si="17">H80</f>
        <v>204488.096400232</v>
      </c>
      <c r="J79" s="281">
        <f t="shared" si="17"/>
        <v>363384.451647218</v>
      </c>
      <c r="K79" s="282">
        <f t="shared" si="17"/>
        <v>601744.342897059</v>
      </c>
      <c r="L79" s="281">
        <f t="shared" si="17"/>
        <v>723167.206320175</v>
      </c>
      <c r="M79" s="282">
        <f t="shared" si="17"/>
        <v>884335.787002474</v>
      </c>
      <c r="N79" s="281">
        <f t="shared" si="17"/>
        <v>1091578.07182034</v>
      </c>
      <c r="O79" s="282">
        <f t="shared" si="17"/>
        <v>1025308.35838375</v>
      </c>
      <c r="P79" s="280">
        <f t="shared" si="17"/>
        <v>956840.063795222</v>
      </c>
      <c r="Q79" s="281">
        <f t="shared" si="17"/>
        <v>849987.134044305</v>
      </c>
    </row>
    <row r="80" ht="14.25" customHeight="1" spans="2:17">
      <c r="B80" s="255" t="s">
        <v>251</v>
      </c>
      <c r="C80" s="279">
        <f t="shared" ref="C80:Q80" si="18">SUM(C76:C79)</f>
        <v>73987</v>
      </c>
      <c r="D80" s="279">
        <f t="shared" si="18"/>
        <v>90214</v>
      </c>
      <c r="E80" s="279">
        <f t="shared" si="18"/>
        <v>90521</v>
      </c>
      <c r="F80" s="279">
        <f t="shared" si="18"/>
        <v>106531</v>
      </c>
      <c r="G80" s="279">
        <f t="shared" si="18"/>
        <v>243847</v>
      </c>
      <c r="H80" s="280">
        <f t="shared" si="18"/>
        <v>204488.096400232</v>
      </c>
      <c r="I80" s="280">
        <f t="shared" si="18"/>
        <v>363384.451647218</v>
      </c>
      <c r="J80" s="281">
        <f t="shared" si="18"/>
        <v>601744.342897059</v>
      </c>
      <c r="K80" s="282">
        <f t="shared" si="18"/>
        <v>723167.206320175</v>
      </c>
      <c r="L80" s="281">
        <f t="shared" si="18"/>
        <v>884335.787002474</v>
      </c>
      <c r="M80" s="282">
        <f t="shared" si="18"/>
        <v>1091578.07182034</v>
      </c>
      <c r="N80" s="281">
        <f t="shared" si="18"/>
        <v>1025308.35838375</v>
      </c>
      <c r="O80" s="282">
        <f t="shared" si="18"/>
        <v>956840.063795222</v>
      </c>
      <c r="P80" s="280">
        <f t="shared" si="18"/>
        <v>849987.134044305</v>
      </c>
      <c r="Q80" s="281">
        <f t="shared" si="18"/>
        <v>271857.878278449</v>
      </c>
    </row>
    <row r="81" ht="14.25" customHeight="1" spans="2:17">
      <c r="B81" s="283"/>
      <c r="C81" s="284"/>
      <c r="D81" s="284"/>
      <c r="E81" s="284"/>
      <c r="F81" s="284"/>
      <c r="G81" s="284"/>
      <c r="H81" s="285"/>
      <c r="I81" s="285"/>
      <c r="J81" s="286"/>
      <c r="K81" s="287"/>
      <c r="L81" s="286"/>
      <c r="M81" s="287"/>
      <c r="N81" s="286"/>
      <c r="O81" s="287"/>
      <c r="P81" s="285"/>
      <c r="Q81" s="286"/>
    </row>
    <row r="83" ht="14.25" customHeight="1" spans="2:17">
      <c r="B83" s="288"/>
    </row>
    <row r="84" ht="14.25" customHeight="1" spans="2:17">
      <c r="B84" s="289"/>
    </row>
    <row r="85" ht="14.25" customHeight="1" spans="2:17">
      <c r="B85" s="289"/>
    </row>
    <row r="86" ht="14.25" customHeight="1" spans="2:17">
      <c r="B86" s="289"/>
    </row>
    <row r="87" ht="14.25" customHeight="1" spans="2:17">
      <c r="B87" s="289"/>
    </row>
    <row r="88" ht="14.25" customHeight="1" spans="2:17">
      <c r="B88" s="289"/>
    </row>
    <row r="89" ht="14.25" customHeight="1" spans="2:17">
      <c r="B89" s="289"/>
    </row>
    <row r="90" ht="14.25" customHeight="1" spans="2:17">
      <c r="B90" s="289"/>
    </row>
    <row r="91" ht="14.25" customHeight="1" spans="2:17">
      <c r="B91" s="289"/>
    </row>
  </sheetData>
  <mergeCells count="3">
    <mergeCell ref="B7:Q7"/>
    <mergeCell ref="B8:B9"/>
    <mergeCell ref="A1:J4"/>
  </mergeCells>
  <pageMargins left="0.7" right="0.7" top="0.75" bottom="0.75" header="0.511811023622047" footer="0.511811023622047"/>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54C5E"/>
  </sheetPr>
  <dimension ref="A1:M32"/>
  <sheetViews>
    <sheetView showGridLines="0" workbookViewId="0">
      <selection activeCell="I8" sqref="I8"/>
    </sheetView>
  </sheetViews>
  <sheetFormatPr defaultColWidth="8.89814814814815" defaultRowHeight="14.4"/>
  <cols>
    <col min="1" max="1" width="5.88888888888889" style="1" customWidth="1"/>
    <col min="5" max="5" width="13.75" style="1" customWidth="1"/>
    <col min="8" max="9" width="14.212962962963" style="1" customWidth="1"/>
    <col min="10" max="10" width="17.4444444444444" style="1" customWidth="1"/>
    <col min="11" max="12" width="14.212962962963" style="1" customWidth="1"/>
  </cols>
  <sheetData>
    <row r="1" ht="14.25" customHeight="1" spans="1:13">
      <c r="A1" s="225" t="str">
        <f>Assumptions!A1</f>
        <v>Bharti Airtel Ltd.
</v>
      </c>
      <c r="B1" s="225"/>
      <c r="C1" s="225"/>
      <c r="D1" s="225"/>
      <c r="E1" s="225"/>
      <c r="F1" s="225"/>
      <c r="G1" s="225"/>
    </row>
    <row r="2" ht="14.25" customHeight="1" spans="1:13">
      <c r="A2" s="225"/>
      <c r="B2" s="225"/>
      <c r="C2" s="225"/>
      <c r="D2" s="225"/>
      <c r="E2" s="225"/>
      <c r="F2" s="225"/>
      <c r="G2" s="225"/>
    </row>
    <row r="3" ht="14.25" customHeight="1" spans="1:13">
      <c r="A3" s="226" t="s">
        <v>350</v>
      </c>
      <c r="B3" s="226"/>
      <c r="C3" s="226"/>
      <c r="D3" s="226"/>
      <c r="E3" s="226"/>
    </row>
    <row r="5" ht="25.5" customHeight="1" spans="1:13">
      <c r="A5" s="227" t="s">
        <v>350</v>
      </c>
      <c r="B5" s="227"/>
      <c r="C5" s="227"/>
      <c r="D5" s="227"/>
      <c r="E5" s="227"/>
      <c r="F5" s="227"/>
      <c r="G5" s="227"/>
      <c r="H5" s="227"/>
      <c r="I5" s="227"/>
      <c r="J5" s="227"/>
      <c r="K5" s="227"/>
      <c r="L5" s="227"/>
      <c r="M5" s="227"/>
    </row>
    <row r="6" ht="15" customHeight="1" spans="1:13">
      <c r="H6" s="228"/>
      <c r="I6" s="228"/>
      <c r="J6" s="228"/>
      <c r="K6" s="229" t="s">
        <v>351</v>
      </c>
    </row>
    <row r="7" ht="15" customHeight="1" spans="1:13">
      <c r="H7" s="229" t="s">
        <v>352</v>
      </c>
      <c r="I7" s="229" t="s">
        <v>353</v>
      </c>
      <c r="J7" s="229" t="s">
        <v>354</v>
      </c>
      <c r="K7" s="229" t="s">
        <v>355</v>
      </c>
    </row>
    <row r="8" ht="14.25" customHeight="1" spans="1:13">
      <c r="B8" s="230" t="s">
        <v>356</v>
      </c>
      <c r="H8" s="231">
        <f>MAX('Comps Data'!G9:G14)</f>
        <v>1818.8</v>
      </c>
      <c r="I8" s="231">
        <f>'DCF Valuation'!I60</f>
        <v>4160.87141247723</v>
      </c>
      <c r="J8" s="1">
        <v>1948.4</v>
      </c>
      <c r="K8" s="231">
        <f>MAX(I28:I31)</f>
        <v>2355</v>
      </c>
    </row>
    <row r="9" ht="14.25" customHeight="1" spans="1:13">
      <c r="B9" s="230" t="s">
        <v>356</v>
      </c>
      <c r="H9" s="231">
        <f>H8</f>
        <v>1818.8</v>
      </c>
      <c r="I9" s="231">
        <f>I8</f>
        <v>4160.87141247723</v>
      </c>
      <c r="J9" s="231">
        <f>J8</f>
        <v>1948.4</v>
      </c>
      <c r="K9" s="231">
        <f>K8</f>
        <v>2355</v>
      </c>
    </row>
    <row r="10" ht="14.25" customHeight="1" spans="1:13">
      <c r="B10" s="230" t="s">
        <v>357</v>
      </c>
      <c r="H10" s="232">
        <f>MIN('Comps Data'!G9:G14)</f>
        <v>0.85</v>
      </c>
      <c r="I10" s="231">
        <f>'DCF Valuation'!K60</f>
        <v>1675.53488437329</v>
      </c>
      <c r="J10" s="231">
        <v>1775.2</v>
      </c>
      <c r="K10" s="231">
        <f>MIN(I28:I31)</f>
        <v>2180</v>
      </c>
    </row>
    <row r="11" ht="14.25" customHeight="1" spans="1:13">
      <c r="B11" s="230" t="s">
        <v>357</v>
      </c>
      <c r="H11" s="232">
        <f>H10</f>
        <v>0.85</v>
      </c>
      <c r="I11" s="231">
        <f>I10</f>
        <v>1675.53488437329</v>
      </c>
      <c r="J11" s="231">
        <f>J10</f>
        <v>1775.2</v>
      </c>
      <c r="K11" s="231">
        <f>K10</f>
        <v>2180</v>
      </c>
    </row>
    <row r="12" ht="14.25" customHeight="1" spans="1:13">
      <c r="B12" s="230" t="s">
        <v>358</v>
      </c>
      <c r="H12" s="231">
        <f>H8-H10</f>
        <v>1817.95</v>
      </c>
      <c r="I12" s="231">
        <f>I8-I10</f>
        <v>2485.33652810394</v>
      </c>
      <c r="J12" s="1">
        <f>J8-J10</f>
        <v>173.2</v>
      </c>
      <c r="K12" s="231">
        <f>K8-K10</f>
        <v>175</v>
      </c>
    </row>
    <row r="13" ht="25.5" customHeight="1" spans="1:13">
      <c r="A13" s="227" t="s">
        <v>359</v>
      </c>
      <c r="B13" s="227"/>
      <c r="C13" s="227"/>
      <c r="D13" s="227"/>
      <c r="E13" s="227"/>
      <c r="F13" s="227"/>
      <c r="G13" s="227"/>
      <c r="H13" s="227"/>
      <c r="I13" s="227"/>
      <c r="J13" s="227"/>
      <c r="K13" s="227"/>
      <c r="L13" s="227"/>
      <c r="M13" s="227"/>
    </row>
    <row r="14" ht="25.5" customHeight="1" spans="1:13">
      <c r="A14" s="233"/>
      <c r="B14" s="233"/>
      <c r="C14" s="233"/>
      <c r="D14" s="233"/>
      <c r="E14" s="233"/>
      <c r="F14" s="233"/>
      <c r="G14" s="233"/>
      <c r="H14" s="233"/>
      <c r="I14" s="233"/>
      <c r="J14" s="233"/>
      <c r="K14" s="233"/>
      <c r="L14" s="233"/>
      <c r="M14" s="233"/>
    </row>
    <row r="27" ht="18" customHeight="1" spans="1:12">
      <c r="A27" s="234" t="s">
        <v>360</v>
      </c>
      <c r="B27" s="235"/>
      <c r="C27" s="235"/>
      <c r="D27" s="235"/>
      <c r="E27" s="236" t="s">
        <v>361</v>
      </c>
      <c r="F27" s="235"/>
      <c r="G27" s="235"/>
      <c r="H27" s="236" t="s">
        <v>362</v>
      </c>
      <c r="I27" s="236" t="s">
        <v>363</v>
      </c>
      <c r="J27" s="236"/>
      <c r="K27" s="236"/>
      <c r="L27" s="236"/>
    </row>
    <row r="28" ht="18" customHeight="1" spans="1:12">
      <c r="A28" s="237" t="s">
        <v>364</v>
      </c>
      <c r="B28" s="237"/>
      <c r="C28" s="237"/>
      <c r="D28" s="238"/>
      <c r="E28" s="239">
        <v>46159</v>
      </c>
      <c r="F28" s="238"/>
      <c r="G28" s="238"/>
      <c r="H28" s="240">
        <v>1950</v>
      </c>
      <c r="I28" s="240">
        <v>2350</v>
      </c>
    </row>
    <row r="29" ht="18" customHeight="1" spans="1:12">
      <c r="A29" s="241" t="s">
        <v>365</v>
      </c>
      <c r="B29" s="241"/>
      <c r="C29" s="241"/>
      <c r="D29" s="238"/>
      <c r="E29" s="242">
        <v>46157</v>
      </c>
      <c r="F29" s="238"/>
      <c r="G29" s="238"/>
      <c r="H29" s="240">
        <v>1834</v>
      </c>
      <c r="I29" s="240">
        <v>2200</v>
      </c>
    </row>
    <row r="30" ht="18" customHeight="1" spans="1:12">
      <c r="A30" s="237" t="s">
        <v>366</v>
      </c>
      <c r="B30" s="237"/>
      <c r="C30" s="237"/>
      <c r="D30" s="238"/>
      <c r="E30" s="239">
        <v>46196</v>
      </c>
      <c r="F30" s="238"/>
      <c r="G30" s="238"/>
      <c r="H30" s="240">
        <v>1912</v>
      </c>
      <c r="I30" s="240">
        <v>2180</v>
      </c>
    </row>
    <row r="31" ht="18" customHeight="1" spans="1:12">
      <c r="A31" s="237" t="s">
        <v>367</v>
      </c>
      <c r="B31" s="237"/>
      <c r="C31" s="237"/>
      <c r="E31" s="239">
        <v>46060</v>
      </c>
      <c r="H31" s="240">
        <v>1912</v>
      </c>
      <c r="I31" s="240">
        <v>2355</v>
      </c>
    </row>
    <row r="32" spans="1:12">
      <c r="E32" s="243"/>
    </row>
  </sheetData>
  <mergeCells count="5">
    <mergeCell ref="A28:C28"/>
    <mergeCell ref="A29:C29"/>
    <mergeCell ref="A30:C30"/>
    <mergeCell ref="A31:C31"/>
    <mergeCell ref="A1:G2"/>
  </mergeCells>
  <hyperlinks>
    <hyperlink ref="A30" r:id="rId2" display="Geojit BNP Paribas"/>
    <hyperlink ref="A31" r:id="rId3" display="Motilal Oswal"/>
  </hyperlinks>
  <pageMargins left="0.75" right="0.75" top="1" bottom="1" header="0.511811023622047" footer="0.511811023622047"/>
  <pageSetup paperSize="9" orientation="portrait" horizontalDpi="300" verticalDpi="300"/>
  <headerFooter/>
  <ignoredErrors>
    <ignoredError sqref="I10 K10" 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T66"/>
  <sheetViews>
    <sheetView showGridLines="0" workbookViewId="0">
      <pane xSplit="2" ySplit="9" topLeftCell="C12" activePane="bottomRight" state="frozen"/>
      <selection/>
      <selection pane="topRight"/>
      <selection pane="bottomLeft"/>
      <selection pane="bottomRight" activeCell="B6" sqref="B6"/>
    </sheetView>
  </sheetViews>
  <sheetFormatPr defaultColWidth="8.89814814814815" defaultRowHeight="14.4"/>
  <cols>
    <col min="1" max="1" width="2.55555555555556" style="1" customWidth="1"/>
    <col min="2" max="2" width="28.7407407407407" style="1" customWidth="1"/>
    <col min="18" max="18" width="61.3703703703704" style="1" customWidth="1"/>
    <col min="20" max="20" width="206.666666666667" style="1" customWidth="1"/>
  </cols>
  <sheetData>
    <row r="1" ht="14.25" customHeight="1" spans="1:20">
      <c r="A1" s="2" t="s">
        <v>252</v>
      </c>
      <c r="B1" s="2"/>
      <c r="C1" s="2"/>
      <c r="D1" s="2"/>
      <c r="E1" s="2"/>
      <c r="F1" s="2"/>
      <c r="G1" s="2"/>
      <c r="H1" s="2"/>
      <c r="I1" s="2"/>
      <c r="J1" s="2"/>
    </row>
    <row r="2" ht="14.25" customHeight="1" spans="1:20">
      <c r="A2" s="2"/>
      <c r="B2" s="2"/>
      <c r="C2" s="2"/>
      <c r="D2" s="2"/>
      <c r="E2" s="2"/>
      <c r="F2" s="2"/>
      <c r="G2" s="2"/>
      <c r="H2" s="2"/>
      <c r="I2" s="2"/>
      <c r="J2" s="2"/>
    </row>
    <row r="3" ht="14.25" customHeight="1" spans="1:20">
      <c r="A3" s="2"/>
      <c r="B3" s="2"/>
      <c r="C3" s="2"/>
      <c r="D3" s="2"/>
      <c r="E3" s="2"/>
      <c r="F3" s="2"/>
      <c r="G3" s="2"/>
      <c r="H3" s="2"/>
      <c r="I3" s="2"/>
      <c r="J3" s="2"/>
    </row>
    <row r="4" ht="14.25" customHeight="1" spans="1:20">
      <c r="A4" s="2"/>
      <c r="B4" s="2"/>
      <c r="C4" s="2"/>
      <c r="D4" s="2"/>
      <c r="E4" s="2"/>
      <c r="F4" s="2"/>
      <c r="G4" s="2"/>
      <c r="H4" s="2"/>
      <c r="I4" s="2"/>
      <c r="J4" s="2"/>
    </row>
    <row r="7" ht="15" customHeight="1" spans="1:20">
      <c r="B7" s="3" t="s">
        <v>16</v>
      </c>
      <c r="C7" s="3"/>
      <c r="D7" s="3"/>
      <c r="E7" s="3"/>
      <c r="F7" s="3"/>
      <c r="G7" s="3"/>
      <c r="H7" s="3"/>
      <c r="I7" s="3"/>
      <c r="J7" s="3"/>
      <c r="K7" s="3"/>
      <c r="L7" s="3"/>
      <c r="M7" s="3"/>
      <c r="N7" s="3"/>
      <c r="O7" s="3"/>
      <c r="P7" s="3"/>
      <c r="Q7" s="3"/>
      <c r="R7" s="3"/>
      <c r="T7" s="195" t="s">
        <v>368</v>
      </c>
    </row>
    <row r="8" ht="14.25" customHeight="1" spans="1:20">
      <c r="B8" s="196" t="s">
        <v>39</v>
      </c>
      <c r="C8" s="5">
        <f>FAS!C7</f>
        <v>2022</v>
      </c>
      <c r="D8" s="5">
        <f>FAS!D7</f>
        <v>2023</v>
      </c>
      <c r="E8" s="5">
        <f>FAS!E7</f>
        <v>2024</v>
      </c>
      <c r="F8" s="5">
        <f>FAS!F7</f>
        <v>2025</v>
      </c>
      <c r="G8" s="5">
        <f>FAS!G7</f>
        <v>2026</v>
      </c>
      <c r="H8" s="5">
        <f>FAS!H7</f>
        <v>2027</v>
      </c>
      <c r="I8" s="5">
        <f>FAS!I7</f>
        <v>2028</v>
      </c>
      <c r="J8" s="5">
        <f>FAS!J7</f>
        <v>2029</v>
      </c>
      <c r="K8" s="5">
        <f>FAS!K7</f>
        <v>2030</v>
      </c>
      <c r="L8" s="5">
        <f>FAS!L7</f>
        <v>2031</v>
      </c>
      <c r="M8" s="5">
        <f>FAS!M7</f>
        <v>2032</v>
      </c>
      <c r="N8" s="5">
        <f>FAS!N7</f>
        <v>2033</v>
      </c>
      <c r="O8" s="5">
        <f>FAS!O7</f>
        <v>2034</v>
      </c>
      <c r="P8" s="5">
        <f>FAS!P7</f>
        <v>2035</v>
      </c>
      <c r="Q8" s="5">
        <f>FAS!Q7</f>
        <v>2036</v>
      </c>
      <c r="R8" s="197" t="s">
        <v>369</v>
      </c>
      <c r="T8" s="195"/>
    </row>
    <row r="9" ht="14.25" customHeight="1" spans="1:20">
      <c r="B9" s="198"/>
      <c r="C9" s="6" t="s">
        <v>85</v>
      </c>
      <c r="D9" s="6" t="s">
        <v>85</v>
      </c>
      <c r="E9" s="6" t="s">
        <v>85</v>
      </c>
      <c r="F9" s="6" t="s">
        <v>85</v>
      </c>
      <c r="G9" s="6" t="s">
        <v>85</v>
      </c>
      <c r="H9" s="7" t="s">
        <v>254</v>
      </c>
      <c r="I9" s="7" t="s">
        <v>255</v>
      </c>
      <c r="J9" s="7" t="s">
        <v>255</v>
      </c>
      <c r="K9" s="7" t="s">
        <v>255</v>
      </c>
      <c r="L9" s="7" t="s">
        <v>255</v>
      </c>
      <c r="M9" s="7" t="s">
        <v>255</v>
      </c>
      <c r="N9" s="7" t="s">
        <v>255</v>
      </c>
      <c r="O9" s="7" t="s">
        <v>255</v>
      </c>
      <c r="P9" s="7" t="s">
        <v>255</v>
      </c>
      <c r="Q9" s="7" t="s">
        <v>255</v>
      </c>
      <c r="R9" s="199"/>
      <c r="T9" s="195"/>
    </row>
    <row r="10" ht="14.25" customHeight="1" spans="1:20">
      <c r="B10" s="200"/>
      <c r="H10" s="201"/>
      <c r="I10" s="201"/>
      <c r="J10" s="201"/>
      <c r="K10" s="201"/>
      <c r="L10" s="201"/>
      <c r="M10" s="201"/>
      <c r="N10" s="201"/>
      <c r="O10" s="201"/>
      <c r="P10" s="201"/>
      <c r="Q10" s="201"/>
      <c r="R10" s="201"/>
      <c r="T10" s="202"/>
    </row>
    <row r="11" ht="14.25" customHeight="1" spans="1:20">
      <c r="B11" s="203" t="s">
        <v>370</v>
      </c>
      <c r="C11" s="204"/>
      <c r="D11" s="14"/>
      <c r="E11" s="14"/>
      <c r="F11" s="14"/>
      <c r="G11" s="14"/>
      <c r="H11" s="205"/>
      <c r="I11" s="205"/>
      <c r="J11" s="205"/>
      <c r="K11" s="205"/>
      <c r="L11" s="205"/>
      <c r="M11" s="205"/>
      <c r="N11" s="205"/>
      <c r="O11" s="205"/>
      <c r="P11" s="205"/>
      <c r="Q11" s="205"/>
      <c r="R11" s="205"/>
      <c r="T11" s="204"/>
    </row>
    <row r="12" ht="63" customHeight="1" spans="1:20">
      <c r="B12" s="206" t="s">
        <v>371</v>
      </c>
      <c r="C12" s="207">
        <f>'Income Statement'!C25/'Income Statement'!C13</f>
        <v>0.495965193387154</v>
      </c>
      <c r="D12" s="207">
        <f>'Income Statement'!D25/'Income Statement'!D13</f>
        <v>0.515486709870118</v>
      </c>
      <c r="E12" s="207">
        <f>'Income Statement'!E25/'Income Statement'!E13</f>
        <v>0.52653783108723</v>
      </c>
      <c r="F12" s="207">
        <f>'Income Statement'!F25/'Income Statement'!F13</f>
        <v>0.542698768152182</v>
      </c>
      <c r="G12" s="207">
        <f>'Income Statement'!G25/'Income Statement'!G13</f>
        <v>0.572953565202505</v>
      </c>
      <c r="H12" s="208">
        <f>'Income Statement'!H25/'Income Statement'!H13</f>
        <v>0.530728413539838</v>
      </c>
      <c r="I12" s="208">
        <f>'Income Statement'!I25/'Income Statement'!I13</f>
        <v>0.530728413539838</v>
      </c>
      <c r="J12" s="208">
        <f>'Income Statement'!J25/'Income Statement'!J13</f>
        <v>0.530728413539838</v>
      </c>
      <c r="K12" s="208">
        <f>'Income Statement'!K25/'Income Statement'!K13</f>
        <v>0.530728413539838</v>
      </c>
      <c r="L12" s="208">
        <f>'Income Statement'!L25/'Income Statement'!L13</f>
        <v>0.530728413539838</v>
      </c>
      <c r="M12" s="208">
        <f>'Income Statement'!M25/'Income Statement'!M13</f>
        <v>0.530728413539838</v>
      </c>
      <c r="N12" s="208">
        <f>'Income Statement'!N25/'Income Statement'!N13</f>
        <v>0.530728413539838</v>
      </c>
      <c r="O12" s="208">
        <f>'Income Statement'!O25/'Income Statement'!O13</f>
        <v>0.530728413539838</v>
      </c>
      <c r="P12" s="208">
        <f>'Income Statement'!P25/'Income Statement'!P13</f>
        <v>0.530728413539838</v>
      </c>
      <c r="Q12" s="208">
        <f>'Income Statement'!Q25/'Income Statement'!Q13</f>
        <v>0.530728413539838</v>
      </c>
      <c r="R12" s="209"/>
      <c r="T12" s="210" t="s">
        <v>372</v>
      </c>
    </row>
    <row r="13" ht="64.5" customHeight="1" spans="1:20">
      <c r="B13" s="206" t="s">
        <v>373</v>
      </c>
      <c r="C13" s="207">
        <f>'Income Statement'!C29/'Income Statement'!C13</f>
        <v>0.213334847951678</v>
      </c>
      <c r="D13" s="207">
        <f>'Income Statement'!D29/'Income Statement'!D13</f>
        <v>0.255410782587838</v>
      </c>
      <c r="E13" s="207">
        <f>'Income Statement'!E29/'Income Statement'!E13</f>
        <v>0.265421898878467</v>
      </c>
      <c r="F13" s="207">
        <f>'Income Statement'!F29/'Income Statement'!F13</f>
        <v>0.281639034159817</v>
      </c>
      <c r="G13" s="207">
        <f>'Income Statement'!G29/'Income Statement'!G13</f>
        <v>0.326399585387724</v>
      </c>
      <c r="H13" s="208">
        <f>'Income Statement'!H29/'Income Statement'!H13</f>
        <v>0.31916260148354</v>
      </c>
      <c r="I13" s="208">
        <f>'Income Statement'!I29/'Income Statement'!I13</f>
        <v>0.339056780942819</v>
      </c>
      <c r="J13" s="208">
        <f>'Income Statement'!J29/'Income Statement'!J13</f>
        <v>0.355467673263701</v>
      </c>
      <c r="K13" s="208">
        <f>'Income Statement'!K29/'Income Statement'!K13</f>
        <v>0.368972932521068</v>
      </c>
      <c r="L13" s="208">
        <f>'Income Statement'!L29/'Income Statement'!L13</f>
        <v>0.380028760878993</v>
      </c>
      <c r="M13" s="208">
        <f>'Income Statement'!M29/'Income Statement'!M13</f>
        <v>0.388994547749539</v>
      </c>
      <c r="N13" s="208">
        <f>'Income Statement'!N29/'Income Statement'!N13</f>
        <v>0.396151657364142</v>
      </c>
      <c r="O13" s="208">
        <f>'Income Statement'!O29/'Income Statement'!O13</f>
        <v>0.401717697816275</v>
      </c>
      <c r="P13" s="208">
        <f>'Income Statement'!P29/'Income Statement'!P13</f>
        <v>0.405857257104625</v>
      </c>
      <c r="Q13" s="208">
        <f>'Income Statement'!Q29/'Income Statement'!Q13</f>
        <v>0.408689829526612</v>
      </c>
      <c r="R13" s="209"/>
      <c r="T13" s="210" t="s">
        <v>374</v>
      </c>
    </row>
    <row r="14" ht="67.5" customHeight="1" spans="1:20">
      <c r="B14" s="206" t="s">
        <v>375</v>
      </c>
      <c r="C14" s="207">
        <f>'Income Statement'!C38/'Income Statement'!C13</f>
        <v>0.106619166868806</v>
      </c>
      <c r="D14" s="207">
        <f>'Income Statement'!D38/'Income Statement'!D13</f>
        <v>0.118221976650719</v>
      </c>
      <c r="E14" s="207">
        <f>'Income Statement'!E38/'Income Statement'!E13</f>
        <v>0.0837352015416946</v>
      </c>
      <c r="F14" s="207">
        <f>'Income Statement'!F38/'Income Statement'!F13</f>
        <v>0.219974461342275</v>
      </c>
      <c r="G14" s="207">
        <f>'Income Statement'!G38/'Income Statement'!G13</f>
        <v>0.211294629639071</v>
      </c>
      <c r="H14" s="208">
        <f>'Income Statement'!H38/'Income Statement'!H13</f>
        <v>0.198599850782912</v>
      </c>
      <c r="I14" s="208">
        <f>'Income Statement'!I38/'Income Statement'!I13</f>
        <v>0.215033280151154</v>
      </c>
      <c r="J14" s="208">
        <f>'Income Statement'!J38/'Income Statement'!J13</f>
        <v>0.231117789749812</v>
      </c>
      <c r="K14" s="208">
        <f>'Income Statement'!K38/'Income Statement'!K13</f>
        <v>0.253245858525146</v>
      </c>
      <c r="L14" s="208">
        <f>'Income Statement'!L38/'Income Statement'!L13</f>
        <v>0.256370791851327</v>
      </c>
      <c r="M14" s="208">
        <f>'Income Statement'!M38/'Income Statement'!M13</f>
        <v>0.267330312143585</v>
      </c>
      <c r="N14" s="208">
        <f>'Income Statement'!N38/'Income Statement'!N13</f>
        <v>0.274267124777123</v>
      </c>
      <c r="O14" s="208">
        <f>'Income Statement'!O38/'Income Statement'!O13</f>
        <v>0.280260958870186</v>
      </c>
      <c r="P14" s="208">
        <f>'Income Statement'!P38/'Income Statement'!P13</f>
        <v>0.284979147072096</v>
      </c>
      <c r="Q14" s="208">
        <f>'Income Statement'!Q38/'Income Statement'!Q13</f>
        <v>0.28678151228676</v>
      </c>
      <c r="R14" s="209"/>
      <c r="T14" s="210" t="s">
        <v>376</v>
      </c>
    </row>
    <row r="15" ht="66" customHeight="1" spans="1:20">
      <c r="B15" s="206" t="s">
        <v>273</v>
      </c>
      <c r="C15" s="207">
        <f>IFERROR('Income Statement'!C40/'Income Statement'!C38,0)</f>
        <v>0.334684493435124</v>
      </c>
      <c r="D15" s="207">
        <f>IFERROR('Income Statement'!D40/'Income Statement'!D38,0)</f>
        <v>0.258038609479068</v>
      </c>
      <c r="E15" s="207">
        <f>IFERROR('Income Statement'!E40/'Income Statement'!E38,0)</f>
        <v>0.325025632936351</v>
      </c>
      <c r="F15" s="207">
        <f>IFERROR('Income Statement'!F40/'Income Statement'!F38,0)</f>
        <v>0.0238863497272029</v>
      </c>
      <c r="G15" s="207">
        <f>IFERROR('Income Statement'!G40/'Income Statement'!G38,0)</f>
        <v>0.251255736318617</v>
      </c>
      <c r="H15" s="208">
        <f>IFERROR('Income Statement'!H40/'Income Statement'!H38,0)</f>
        <v>0.256255736318617</v>
      </c>
      <c r="I15" s="208">
        <f>IFERROR('Income Statement'!I40/'Income Statement'!I38,0)</f>
        <v>0.256255736318617</v>
      </c>
      <c r="J15" s="208">
        <f>IFERROR('Income Statement'!J40/'Income Statement'!J38,0)</f>
        <v>0.261255736318617</v>
      </c>
      <c r="K15" s="208">
        <f>IFERROR('Income Statement'!K40/'Income Statement'!K38,0)</f>
        <v>0.261255736318617</v>
      </c>
      <c r="L15" s="208">
        <f>IFERROR('Income Statement'!L40/'Income Statement'!L38,0)</f>
        <v>0.266255736318617</v>
      </c>
      <c r="M15" s="208">
        <f>IFERROR('Income Statement'!M40/'Income Statement'!M38,0)</f>
        <v>0.266255736318617</v>
      </c>
      <c r="N15" s="208">
        <f>IFERROR('Income Statement'!N40/'Income Statement'!N38,0)</f>
        <v>0.271255736318617</v>
      </c>
      <c r="O15" s="208">
        <f>IFERROR('Income Statement'!O40/'Income Statement'!O38,0)</f>
        <v>0.271255736318617</v>
      </c>
      <c r="P15" s="208">
        <f>IFERROR('Income Statement'!P40/'Income Statement'!P38,0)</f>
        <v>0.276255736318617</v>
      </c>
      <c r="Q15" s="208">
        <f>IFERROR('Income Statement'!Q40/'Income Statement'!Q38,0)</f>
        <v>0.276255736318617</v>
      </c>
      <c r="R15" s="209"/>
      <c r="T15" s="210" t="s">
        <v>377</v>
      </c>
    </row>
    <row r="16" ht="48.75" customHeight="1" spans="1:20">
      <c r="B16" s="206" t="s">
        <v>378</v>
      </c>
      <c r="C16" s="207">
        <f>'Income Statement'!C42/'Income Statement'!C13</f>
        <v>0.0709353850148444</v>
      </c>
      <c r="D16" s="207">
        <f>'Income Statement'!D42/'Income Statement'!D13</f>
        <v>0.0877161421859005</v>
      </c>
      <c r="E16" s="207">
        <f>'Income Statement'!E42/'Income Statement'!E13</f>
        <v>0.0565191146615523</v>
      </c>
      <c r="F16" s="207">
        <f>'Income Statement'!F42/'Income Statement'!F13</f>
        <v>0.2147200744276</v>
      </c>
      <c r="G16" s="207">
        <f>'Income Statement'!G42/'Income Statement'!G13</f>
        <v>0.158205641888937</v>
      </c>
      <c r="H16" s="208">
        <f>'Income Statement'!H42/'Income Statement'!H13</f>
        <v>0.14770749978777</v>
      </c>
      <c r="I16" s="208">
        <f>'Income Statement'!I42/'Income Statement'!I13</f>
        <v>0.159929768613012</v>
      </c>
      <c r="J16" s="208">
        <f>'Income Statement'!J42/'Income Statement'!J13</f>
        <v>0.170736941412393</v>
      </c>
      <c r="K16" s="208">
        <f>'Income Statement'!K42/'Income Statement'!K13</f>
        <v>0.187083925286519</v>
      </c>
      <c r="L16" s="208">
        <f>'Income Statement'!L42/'Income Statement'!L13</f>
        <v>0.188110597896365</v>
      </c>
      <c r="M16" s="208">
        <f>'Income Statement'!M42/'Income Statement'!M13</f>
        <v>0.196152083043509</v>
      </c>
      <c r="N16" s="208">
        <f>'Income Statement'!N42/'Income Statement'!N13</f>
        <v>0.199870593897715</v>
      </c>
      <c r="O16" s="208">
        <f>'Income Statement'!O42/'Income Statement'!O13</f>
        <v>0.204238566110492</v>
      </c>
      <c r="P16" s="208">
        <f>'Income Statement'!P42/'Income Statement'!P13</f>
        <v>0.206252022962242</v>
      </c>
      <c r="Q16" s="208">
        <f>'Income Statement'!Q42/'Income Statement'!Q13</f>
        <v>0.207556474447415</v>
      </c>
      <c r="R16" s="209"/>
      <c r="T16" s="210" t="s">
        <v>379</v>
      </c>
    </row>
    <row r="17" ht="14.25" customHeight="1" spans="2:20">
      <c r="B17" s="206"/>
      <c r="C17" s="202"/>
      <c r="D17" s="202"/>
      <c r="E17" s="202"/>
      <c r="F17" s="202"/>
      <c r="G17" s="202"/>
      <c r="H17" s="211"/>
      <c r="I17" s="211"/>
      <c r="J17" s="211"/>
      <c r="K17" s="211"/>
      <c r="L17" s="211"/>
      <c r="M17" s="211"/>
      <c r="N17" s="211"/>
      <c r="O17" s="211"/>
      <c r="P17" s="211"/>
      <c r="Q17" s="211"/>
      <c r="R17" s="209"/>
      <c r="T17" s="212"/>
    </row>
    <row r="18" ht="14.25" customHeight="1" spans="2:20">
      <c r="B18" s="203" t="s">
        <v>380</v>
      </c>
      <c r="C18" s="204"/>
      <c r="D18" s="204"/>
      <c r="E18" s="204"/>
      <c r="F18" s="204"/>
      <c r="G18" s="204"/>
      <c r="H18" s="213"/>
      <c r="I18" s="213"/>
      <c r="J18" s="213"/>
      <c r="K18" s="213"/>
      <c r="L18" s="213"/>
      <c r="M18" s="213"/>
      <c r="N18" s="213"/>
      <c r="O18" s="213"/>
      <c r="P18" s="213"/>
      <c r="Q18" s="213"/>
      <c r="R18" s="209"/>
      <c r="T18" s="214"/>
    </row>
    <row r="19" ht="66" customHeight="1" spans="2:20">
      <c r="B19" s="206" t="s">
        <v>114</v>
      </c>
      <c r="C19" s="215"/>
      <c r="D19" s="215">
        <f>'Income Statement'!D13/AVERAGE('Balance Sheet'!C40,'Balance Sheet'!D40)</f>
        <v>0.3457565521051</v>
      </c>
      <c r="E19" s="215">
        <f>'Income Statement'!E13/AVERAGE('Balance Sheet'!D40,'Balance Sheet'!E40)</f>
        <v>0.33982020372901</v>
      </c>
      <c r="F19" s="215">
        <f>'Income Statement'!F13/AVERAGE('Balance Sheet'!E40,'Balance Sheet'!F40)</f>
        <v>0.364084817112762</v>
      </c>
      <c r="G19" s="215">
        <f>'Income Statement'!G13/AVERAGE('Balance Sheet'!F40,'Balance Sheet'!G40)</f>
        <v>0.400914570112666</v>
      </c>
      <c r="H19" s="216">
        <f>'Income Statement'!H13/AVERAGE('Balance Sheet'!G40,'Balance Sheet'!H40)</f>
        <v>0.411345578020506</v>
      </c>
      <c r="I19" s="216">
        <f>'Income Statement'!I13/AVERAGE('Balance Sheet'!H40,'Balance Sheet'!I40)</f>
        <v>0.392487590698953</v>
      </c>
      <c r="J19" s="216">
        <f>'Income Statement'!J13/AVERAGE('Balance Sheet'!I40,'Balance Sheet'!J40)</f>
        <v>0.387156356714338</v>
      </c>
      <c r="K19" s="216">
        <f>'Income Statement'!K13/AVERAGE('Balance Sheet'!J40,'Balance Sheet'!K40)</f>
        <v>0.379804399859715</v>
      </c>
      <c r="L19" s="216">
        <f>'Income Statement'!L13/AVERAGE('Balance Sheet'!K40,'Balance Sheet'!L40)</f>
        <v>0.371474536023845</v>
      </c>
      <c r="M19" s="216">
        <f>'Income Statement'!M13/AVERAGE('Balance Sheet'!L40,'Balance Sheet'!M40)</f>
        <v>0.36279326701077</v>
      </c>
      <c r="N19" s="216">
        <f>'Income Statement'!N13/AVERAGE('Balance Sheet'!M40,'Balance Sheet'!N40)</f>
        <v>0.353852868275682</v>
      </c>
      <c r="O19" s="216">
        <f>'Income Statement'!O13/AVERAGE('Balance Sheet'!N40,'Balance Sheet'!O40)</f>
        <v>0.344944256367469</v>
      </c>
      <c r="P19" s="216">
        <f>'Income Statement'!P13/AVERAGE('Balance Sheet'!O40,'Balance Sheet'!P40)</f>
        <v>0.336254137185795</v>
      </c>
      <c r="Q19" s="216">
        <f>'Income Statement'!Q13/AVERAGE('Balance Sheet'!P40,'Balance Sheet'!Q40)</f>
        <v>0.328023459234418</v>
      </c>
      <c r="R19" s="209"/>
      <c r="T19" s="210" t="s">
        <v>381</v>
      </c>
    </row>
    <row r="20" ht="66" customHeight="1" spans="2:20">
      <c r="B20" s="206" t="s">
        <v>382</v>
      </c>
      <c r="C20" s="207"/>
      <c r="D20" s="207">
        <f>'Income Statement'!C38/AVERAGE('Balance Sheet'!C40:D40)</f>
        <v>0.0308114683004537</v>
      </c>
      <c r="E20" s="207">
        <f>'Income Statement'!D38/AVERAGE('Balance Sheet'!D40:E40)</f>
        <v>0.0371664391365811</v>
      </c>
      <c r="F20" s="207">
        <f>'Income Statement'!E38/AVERAGE('Balance Sheet'!E40:F40)</f>
        <v>0.0264451219397734</v>
      </c>
      <c r="G20" s="207">
        <f>'Income Statement'!F38/AVERAGE('Balance Sheet'!F40:G40)</f>
        <v>0.0720076286061479</v>
      </c>
      <c r="H20" s="217">
        <f>'Income Statement'!G38/AVERAGE('Balance Sheet'!G40:H40)</f>
        <v>0.0731187220447069</v>
      </c>
      <c r="I20" s="217">
        <f>'Income Statement'!H38/AVERAGE('Balance Sheet'!H40:I40)</f>
        <v>0.0692336182456807</v>
      </c>
      <c r="J20" s="217">
        <f>'Income Statement'!I38/AVERAGE('Balance Sheet'!I40:J40)</f>
        <v>0.074630903967124</v>
      </c>
      <c r="K20" s="217">
        <f>'Income Statement'!J38/AVERAGE('Balance Sheet'!J40:K40)</f>
        <v>0.0794268902188586</v>
      </c>
      <c r="L20" s="217">
        <f>'Income Statement'!K38/AVERAGE('Balance Sheet'!K40:L40)</f>
        <v>0.0859259762035988</v>
      </c>
      <c r="M20" s="217">
        <f>'Income Statement'!L38/AVERAGE('Balance Sheet'!L40:M40)</f>
        <v>0.0857608294779461</v>
      </c>
      <c r="N20" s="217">
        <f>'Income Statement'!M38/AVERAGE('Balance Sheet'!M40:N40)</f>
        <v>0.0880576674382892</v>
      </c>
      <c r="O20" s="217">
        <f>'Income Statement'!N38/AVERAGE('Balance Sheet'!N40:O40)</f>
        <v>0.0889156542886546</v>
      </c>
      <c r="P20" s="217">
        <f>'Income Statement'!O38/AVERAGE('Balance Sheet'!O40:P40)</f>
        <v>0.0894265378613887</v>
      </c>
      <c r="Q20" s="217">
        <f>'Income Statement'!P38/AVERAGE('Balance Sheet'!P40:Q40)</f>
        <v>0.0895679926226343</v>
      </c>
      <c r="R20" s="209"/>
      <c r="T20" s="210" t="s">
        <v>383</v>
      </c>
    </row>
    <row r="21" ht="64.5" customHeight="1" spans="2:20">
      <c r="B21" s="206" t="s">
        <v>384</v>
      </c>
      <c r="C21" s="207"/>
      <c r="D21" s="207">
        <f>'Income Statement'!C38/AVERAGE('Balance Sheet'!C47:D47)</f>
        <v>0.125850832218886</v>
      </c>
      <c r="E21" s="207">
        <f>'Income Statement'!D38/AVERAGE('Balance Sheet'!D47:E47)</f>
        <v>0.156226976126395</v>
      </c>
      <c r="F21" s="207">
        <f>'Income Statement'!E38/AVERAGE('Balance Sheet'!E47:F47)</f>
        <v>0.0978953919135735</v>
      </c>
      <c r="G21" s="207">
        <f>'Income Statement'!F38/AVERAGE('Balance Sheet'!F47:G47)</f>
        <v>0.219777232192555</v>
      </c>
      <c r="H21" s="217">
        <f>'Income Statement'!G38/AVERAGE('Balance Sheet'!G47:H47)</f>
        <v>0.214659149498832</v>
      </c>
      <c r="I21" s="217">
        <f>'Income Statement'!H38/AVERAGE('Balance Sheet'!H47:I47)</f>
        <v>0.208036989146142</v>
      </c>
      <c r="J21" s="217">
        <f>'Income Statement'!I38/AVERAGE('Balance Sheet'!I47:J47)</f>
        <v>0.218752899296994</v>
      </c>
      <c r="K21" s="217">
        <f>'Income Statement'!J38/AVERAGE('Balance Sheet'!J47:K47)</f>
        <v>0.225161054029844</v>
      </c>
      <c r="L21" s="217">
        <f>'Income Statement'!K38/AVERAGE('Balance Sheet'!K47:L47)</f>
        <v>0.234991584111304</v>
      </c>
      <c r="M21" s="217">
        <f>'Income Statement'!L38/AVERAGE('Balance Sheet'!L47:M47)</f>
        <v>0.2264486689034</v>
      </c>
      <c r="N21" s="217">
        <f>'Income Statement'!M38/AVERAGE('Balance Sheet'!M47:N47)</f>
        <v>0.224527506118691</v>
      </c>
      <c r="O21" s="217">
        <f>'Income Statement'!N38/AVERAGE('Balance Sheet'!N47:O47)</f>
        <v>0.219268161794241</v>
      </c>
      <c r="P21" s="217">
        <f>'Income Statement'!O38/AVERAGE('Balance Sheet'!O47:P47)</f>
        <v>0.213741512500182</v>
      </c>
      <c r="Q21" s="217">
        <f>'Income Statement'!P38/AVERAGE('Balance Sheet'!P47:Q47)</f>
        <v>0.208104804917517</v>
      </c>
      <c r="R21" s="209"/>
      <c r="T21" s="210" t="s">
        <v>385</v>
      </c>
    </row>
    <row r="22" ht="14.25" customHeight="1" spans="2:20">
      <c r="B22" s="206" t="s">
        <v>386</v>
      </c>
      <c r="C22" s="207">
        <f>1-C15</f>
        <v>0.665315506564876</v>
      </c>
      <c r="D22" s="207">
        <f t="shared" ref="C22:Q22" si="0">1-D15</f>
        <v>0.741961390520932</v>
      </c>
      <c r="E22" s="207">
        <f t="shared" si="0"/>
        <v>0.674974367063649</v>
      </c>
      <c r="F22" s="207">
        <f t="shared" si="0"/>
        <v>0.976113650272797</v>
      </c>
      <c r="G22" s="207">
        <f t="shared" si="0"/>
        <v>0.748744263681383</v>
      </c>
      <c r="H22" s="208">
        <f t="shared" si="0"/>
        <v>0.743744263681383</v>
      </c>
      <c r="I22" s="208">
        <f t="shared" si="0"/>
        <v>0.743744263681383</v>
      </c>
      <c r="J22" s="208">
        <f t="shared" si="0"/>
        <v>0.738744263681383</v>
      </c>
      <c r="K22" s="208">
        <f t="shared" si="0"/>
        <v>0.738744263681383</v>
      </c>
      <c r="L22" s="208">
        <f t="shared" si="0"/>
        <v>0.733744263681383</v>
      </c>
      <c r="M22" s="208">
        <f t="shared" si="0"/>
        <v>0.733744263681383</v>
      </c>
      <c r="N22" s="208">
        <f t="shared" si="0"/>
        <v>0.728744263681383</v>
      </c>
      <c r="O22" s="208">
        <f t="shared" si="0"/>
        <v>0.728744263681383</v>
      </c>
      <c r="P22" s="208">
        <f t="shared" si="0"/>
        <v>0.723744263681383</v>
      </c>
      <c r="Q22" s="208">
        <f t="shared" si="0"/>
        <v>0.723744263681383</v>
      </c>
      <c r="R22" s="209"/>
      <c r="T22" s="218"/>
    </row>
    <row r="23" ht="60.75" customHeight="1" spans="2:20">
      <c r="B23" s="206" t="s">
        <v>116</v>
      </c>
      <c r="C23" s="207"/>
      <c r="D23" s="207">
        <f>'Income Statement'!C42/AVERAGEA('Balance Sheet'!C47:D47)</f>
        <v>0.0837305101893192</v>
      </c>
      <c r="E23" s="207">
        <f>'Income Statement'!D42/AVERAGEA('Balance Sheet'!D47:E47)</f>
        <v>0.115914384443621</v>
      </c>
      <c r="F23" s="207">
        <f>'Income Statement'!E42/AVERAGEA('Balance Sheet'!E47:F47)</f>
        <v>0.0660768801953121</v>
      </c>
      <c r="G23" s="207">
        <f>'Income Statement'!F42/AVERAGEA('Balance Sheet'!F47:G47)</f>
        <v>0.214527556362327</v>
      </c>
      <c r="H23" s="217">
        <f>'Income Statement'!G42/AVERAGEA('Balance Sheet'!G47:H47)</f>
        <v>0.160724806833975</v>
      </c>
      <c r="I23" s="217">
        <f>'Income Statement'!H42/AVERAGEA('Balance Sheet'!H47:I47)</f>
        <v>0.154726317310989</v>
      </c>
      <c r="J23" s="217">
        <f>'Income Statement'!I42/AVERAGEA('Balance Sheet'!I47:J47)</f>
        <v>0.16269621401581</v>
      </c>
      <c r="K23" s="217">
        <f>'Income Statement'!J42/AVERAGEA('Balance Sheet'!J47:K47)</f>
        <v>0.166336437069001</v>
      </c>
      <c r="L23" s="217">
        <f>'Income Statement'!K42/AVERAGEA('Balance Sheet'!K47:L47)</f>
        <v>0.173598684775627</v>
      </c>
      <c r="M23" s="217">
        <f>'Income Statement'!L42/AVERAGEA('Balance Sheet'!L47:M47)</f>
        <v>0.166155411826155</v>
      </c>
      <c r="N23" s="217">
        <f>'Income Statement'!M42/AVERAGEA('Balance Sheet'!M47:N47)</f>
        <v>0.164745769653276</v>
      </c>
      <c r="O23" s="217">
        <f>'Income Statement'!N42/AVERAGEA('Balance Sheet'!N47:O47)</f>
        <v>0.159790415115515</v>
      </c>
      <c r="P23" s="217">
        <f>'Income Statement'!O42/AVERAGEA('Balance Sheet'!O47:P47)</f>
        <v>0.15576290114509</v>
      </c>
      <c r="Q23" s="217">
        <f>'Income Statement'!P42/AVERAGEA('Balance Sheet'!P47:Q47)</f>
        <v>0.150614658803586</v>
      </c>
      <c r="R23" s="209"/>
      <c r="T23" s="210" t="s">
        <v>387</v>
      </c>
    </row>
    <row r="24" ht="60.75" customHeight="1" spans="2:20">
      <c r="B24" s="206" t="s">
        <v>388</v>
      </c>
      <c r="C24" s="207">
        <f>1-'Income Statement'!C48</f>
        <v>0.377064971343255</v>
      </c>
      <c r="D24" s="207">
        <f>1-'Income Statement'!D48</f>
        <v>0.521819099239872</v>
      </c>
      <c r="E24" s="207">
        <f>1-'Income Statement'!E48</f>
        <v>0.0668029913531198</v>
      </c>
      <c r="F24" s="207">
        <f>1-'Income Statement'!F48</f>
        <v>0.810670921232721</v>
      </c>
      <c r="G24" s="207">
        <f>1-'Income Statement'!G48</f>
        <v>0.790191823267145</v>
      </c>
      <c r="H24" s="208">
        <f>1-'Income Statement'!H48</f>
        <v>0.790191823267145</v>
      </c>
      <c r="I24" s="208">
        <f>1-'Income Statement'!I48</f>
        <v>0.790191823267145</v>
      </c>
      <c r="J24" s="208">
        <f>1-'Income Statement'!J48</f>
        <v>0.790191823267145</v>
      </c>
      <c r="K24" s="208">
        <f>1-'Income Statement'!K48</f>
        <v>0.790191823267145</v>
      </c>
      <c r="L24" s="208">
        <f>1-'Income Statement'!L48</f>
        <v>0.790191823267145</v>
      </c>
      <c r="M24" s="208">
        <f>1-'Income Statement'!M48</f>
        <v>0.790191823267145</v>
      </c>
      <c r="N24" s="208">
        <f>1-'Income Statement'!N48</f>
        <v>0.790191823267145</v>
      </c>
      <c r="O24" s="208">
        <f>1-'Income Statement'!O48</f>
        <v>0.790191823267145</v>
      </c>
      <c r="P24" s="208">
        <f>1-'Income Statement'!P48</f>
        <v>0.790191823267145</v>
      </c>
      <c r="Q24" s="208">
        <f>1-'Income Statement'!Q48</f>
        <v>0.790191823267145</v>
      </c>
      <c r="R24" s="209"/>
      <c r="T24" s="210" t="s">
        <v>389</v>
      </c>
    </row>
    <row r="25" ht="48.75" customHeight="1" spans="2:20">
      <c r="B25" s="206" t="s">
        <v>390</v>
      </c>
      <c r="C25" s="207"/>
      <c r="D25" s="207">
        <f>D24*D23</f>
        <v>0.0436921794058854</v>
      </c>
      <c r="E25" s="207">
        <f t="shared" ref="E25:Q25" si="1">E24*E23</f>
        <v>0.0077434276216894</v>
      </c>
      <c r="F25" s="207">
        <f t="shared" si="1"/>
        <v>0.0535666053401178</v>
      </c>
      <c r="G25" s="207">
        <f t="shared" si="1"/>
        <v>0.169517920902993</v>
      </c>
      <c r="H25" s="217">
        <f t="shared" si="1"/>
        <v>0.127003428156399</v>
      </c>
      <c r="I25" s="217">
        <f t="shared" si="1"/>
        <v>0.122263470783381</v>
      </c>
      <c r="J25" s="217">
        <f t="shared" si="1"/>
        <v>0.128561217991815</v>
      </c>
      <c r="K25" s="217">
        <f t="shared" si="1"/>
        <v>0.131437692483315</v>
      </c>
      <c r="L25" s="217">
        <f t="shared" si="1"/>
        <v>0.137176261239631</v>
      </c>
      <c r="M25" s="217">
        <f t="shared" si="1"/>
        <v>0.131294647816613</v>
      </c>
      <c r="N25" s="217">
        <f t="shared" si="1"/>
        <v>0.130180760097871</v>
      </c>
      <c r="O25" s="217">
        <f t="shared" si="1"/>
        <v>0.126265079460743</v>
      </c>
      <c r="P25" s="217">
        <f t="shared" si="1"/>
        <v>0.123082570853219</v>
      </c>
      <c r="Q25" s="217">
        <f t="shared" si="1"/>
        <v>0.119014471850765</v>
      </c>
      <c r="R25" s="209"/>
      <c r="T25" s="210" t="s">
        <v>391</v>
      </c>
    </row>
    <row r="26" ht="14.25" customHeight="1" spans="2:20">
      <c r="B26" s="206"/>
      <c r="C26" s="202"/>
      <c r="D26" s="202"/>
      <c r="E26" s="202"/>
      <c r="F26" s="202"/>
      <c r="G26" s="202"/>
      <c r="H26" s="211"/>
      <c r="I26" s="211"/>
      <c r="J26" s="211"/>
      <c r="K26" s="211"/>
      <c r="L26" s="211"/>
      <c r="M26" s="211"/>
      <c r="N26" s="211"/>
      <c r="O26" s="211"/>
      <c r="P26" s="211"/>
      <c r="Q26" s="211"/>
      <c r="R26" s="209"/>
      <c r="T26" s="212"/>
    </row>
    <row r="27" ht="14.25" customHeight="1" spans="2:20">
      <c r="B27" s="203" t="s">
        <v>392</v>
      </c>
      <c r="C27" s="204"/>
      <c r="D27" s="204"/>
      <c r="E27" s="204"/>
      <c r="F27" s="204"/>
      <c r="G27" s="204"/>
      <c r="H27" s="213"/>
      <c r="I27" s="213"/>
      <c r="J27" s="213"/>
      <c r="K27" s="213"/>
      <c r="L27" s="213"/>
      <c r="M27" s="213"/>
      <c r="N27" s="213"/>
      <c r="O27" s="213"/>
      <c r="P27" s="213"/>
      <c r="Q27" s="213"/>
      <c r="R27" s="209"/>
      <c r="T27" s="214"/>
    </row>
    <row r="28" ht="72" customHeight="1" spans="2:20">
      <c r="B28" s="206" t="s">
        <v>173</v>
      </c>
      <c r="C28" s="215">
        <f>'Balance Sheet'!C39/'Balance Sheet'!C70</f>
        <v>0.45628102362619</v>
      </c>
      <c r="D28" s="215">
        <f>'Balance Sheet'!D39/'Balance Sheet'!D70</f>
        <v>0.471462023977606</v>
      </c>
      <c r="E28" s="215">
        <f>'Balance Sheet'!E39/'Balance Sheet'!E70</f>
        <v>0.420256901746476</v>
      </c>
      <c r="F28" s="215">
        <f>'Balance Sheet'!F39/'Balance Sheet'!F70</f>
        <v>0.37457728377601</v>
      </c>
      <c r="G28" s="215">
        <f>'Balance Sheet'!G39/'Balance Sheet'!G70</f>
        <v>0.516976809353505</v>
      </c>
      <c r="H28" s="216">
        <f>'Balance Sheet'!H39/'Balance Sheet'!H70</f>
        <v>0.46937943480579</v>
      </c>
      <c r="I28" s="216">
        <f>'Balance Sheet'!I39/'Balance Sheet'!I70</f>
        <v>0.515176322043256</v>
      </c>
      <c r="J28" s="216">
        <f>'Balance Sheet'!J39/'Balance Sheet'!J70</f>
        <v>0.578515197115987</v>
      </c>
      <c r="K28" s="216">
        <f>'Balance Sheet'!K39/'Balance Sheet'!K70</f>
        <v>0.594103775836653</v>
      </c>
      <c r="L28" s="216">
        <f>'Balance Sheet'!L39/'Balance Sheet'!L70</f>
        <v>0.617569525925589</v>
      </c>
      <c r="M28" s="216">
        <f>'Balance Sheet'!M39/'Balance Sheet'!M70</f>
        <v>0.65059388700589</v>
      </c>
      <c r="N28" s="216">
        <f>'Balance Sheet'!N39/'Balance Sheet'!N70</f>
        <v>0.612080187332574</v>
      </c>
      <c r="O28" s="216">
        <f>'Balance Sheet'!O39/'Balance Sheet'!O70</f>
        <v>0.57905595513054</v>
      </c>
      <c r="P28" s="216">
        <f>'Balance Sheet'!P39/'Balance Sheet'!P70</f>
        <v>0.542521021483334</v>
      </c>
      <c r="Q28" s="216">
        <f>'Balance Sheet'!Q39/'Balance Sheet'!Q70</f>
        <v>0.40978906675293</v>
      </c>
      <c r="R28" s="209"/>
      <c r="T28" s="210" t="s">
        <v>393</v>
      </c>
    </row>
    <row r="29" ht="55.5" customHeight="1" spans="2:20">
      <c r="B29" s="206" t="s">
        <v>174</v>
      </c>
      <c r="C29" s="215">
        <f>('Balance Sheet'!C39-'Balance Sheet'!C30)/'Balance Sheet'!C70</f>
        <v>0.452992300001754</v>
      </c>
      <c r="D29" s="215">
        <f>('Balance Sheet'!D39-'Balance Sheet'!D30)/'Balance Sheet'!D70</f>
        <v>0.469349921862061</v>
      </c>
      <c r="E29" s="215">
        <f>('Balance Sheet'!E39-'Balance Sheet'!E30)/'Balance Sheet'!E70</f>
        <v>0.41763264434858</v>
      </c>
      <c r="F29" s="215">
        <f>('Balance Sheet'!F39-'Balance Sheet'!F30)/'Balance Sheet'!F70</f>
        <v>0.372073961345642</v>
      </c>
      <c r="G29" s="215">
        <f>('Balance Sheet'!G39-'Balance Sheet'!G30)/'Balance Sheet'!G70</f>
        <v>0.513533368824056</v>
      </c>
      <c r="H29" s="216">
        <f>('Balance Sheet'!H39-'Balance Sheet'!H30)/'Balance Sheet'!H70</f>
        <v>0.466559491883881</v>
      </c>
      <c r="I29" s="216">
        <f>('Balance Sheet'!I39-'Balance Sheet'!I30)/'Balance Sheet'!I70</f>
        <v>0.512339906940088</v>
      </c>
      <c r="J29" s="216">
        <f>('Balance Sheet'!J39-'Balance Sheet'!J30)/'Balance Sheet'!J70</f>
        <v>0.575667697160284</v>
      </c>
      <c r="K29" s="216">
        <f>('Balance Sheet'!K39-'Balance Sheet'!K30)/'Balance Sheet'!K70</f>
        <v>0.591241888316825</v>
      </c>
      <c r="L29" s="216">
        <f>('Balance Sheet'!L39-'Balance Sheet'!L30)/'Balance Sheet'!L70</f>
        <v>0.614700914535034</v>
      </c>
      <c r="M29" s="216">
        <f>('Balance Sheet'!M39-'Balance Sheet'!M30)/'Balance Sheet'!M70</f>
        <v>0.647718370249663</v>
      </c>
      <c r="N29" s="216">
        <f>('Balance Sheet'!N39-'Balance Sheet'!N30)/'Balance Sheet'!N70</f>
        <v>0.609198503596392</v>
      </c>
      <c r="O29" s="216">
        <f>('Balance Sheet'!O39-'Balance Sheet'!O30)/'Balance Sheet'!O70</f>
        <v>0.576169415007681</v>
      </c>
      <c r="P29" s="216">
        <f>('Balance Sheet'!P39-'Balance Sheet'!P30)/'Balance Sheet'!P70</f>
        <v>0.539630252350226</v>
      </c>
      <c r="Q29" s="216">
        <f>('Balance Sheet'!Q39-'Balance Sheet'!Q30)/'Balance Sheet'!Q70</f>
        <v>0.406895635520051</v>
      </c>
      <c r="R29" s="209"/>
      <c r="T29" s="210" t="s">
        <v>394</v>
      </c>
    </row>
    <row r="30" ht="55.5" customHeight="1" spans="2:20">
      <c r="B30" s="206" t="s">
        <v>395</v>
      </c>
      <c r="C30" s="215">
        <f>('Balance Sheet'!C34+'Balance Sheet'!C35)/'Balance Sheet'!C70</f>
        <v>0.118344061880624</v>
      </c>
      <c r="D30" s="215">
        <f>('Balance Sheet'!D34+'Balance Sheet'!D35)/'Balance Sheet'!D70</f>
        <v>0.110021170216081</v>
      </c>
      <c r="E30" s="215">
        <f>('Balance Sheet'!E34+'Balance Sheet'!E35)/'Balance Sheet'!E70</f>
        <v>0.117834854234364</v>
      </c>
      <c r="F30" s="215">
        <f>('Balance Sheet'!F34+'Balance Sheet'!F35)/'Balance Sheet'!F70</f>
        <v>0.0926617239395656</v>
      </c>
      <c r="G30" s="215">
        <f>('Balance Sheet'!G34+'Balance Sheet'!G35)/'Balance Sheet'!G70</f>
        <v>0.174073397029438</v>
      </c>
      <c r="H30" s="216">
        <f>('Balance Sheet'!H34+'Balance Sheet'!H35)/'Balance Sheet'!H70</f>
        <v>0.160282802037478</v>
      </c>
      <c r="I30" s="216">
        <f>('Balance Sheet'!I34+'Balance Sheet'!I35)/'Balance Sheet'!I70</f>
        <v>0.204518987251769</v>
      </c>
      <c r="J30" s="216">
        <f>('Balance Sheet'!J34+'Balance Sheet'!J35)/'Balance Sheet'!J70</f>
        <v>0.266845999440523</v>
      </c>
      <c r="K30" s="216">
        <f>('Balance Sheet'!K34+'Balance Sheet'!K35)/'Balance Sheet'!K70</f>
        <v>0.281027218974817</v>
      </c>
      <c r="L30" s="216">
        <f>('Balance Sheet'!L34+'Balance Sheet'!L35)/'Balance Sheet'!L70</f>
        <v>0.303895623577194</v>
      </c>
      <c r="M30" s="216">
        <f>('Balance Sheet'!M34+'Balance Sheet'!M35)/'Balance Sheet'!M70</f>
        <v>0.336278766755071</v>
      </c>
      <c r="N30" s="216">
        <f>('Balance Sheet'!N34+'Balance Sheet'!N35)/'Balance Sheet'!N70</f>
        <v>0.297184276130836</v>
      </c>
      <c r="O30" s="216">
        <f>('Balance Sheet'!O34+'Balance Sheet'!O35)/'Balance Sheet'!O70</f>
        <v>0.263705088716634</v>
      </c>
      <c r="P30" s="216">
        <f>('Balance Sheet'!P34+'Balance Sheet'!P35)/'Balance Sheet'!P70</f>
        <v>0.226768645094433</v>
      </c>
      <c r="Q30" s="216">
        <f>('Balance Sheet'!Q34+'Balance Sheet'!Q35)/'Balance Sheet'!Q70</f>
        <v>0.0937930080346312</v>
      </c>
      <c r="R30" s="209"/>
      <c r="T30" s="210" t="s">
        <v>396</v>
      </c>
    </row>
    <row r="31" ht="14.25" customHeight="1" spans="2:20">
      <c r="B31" s="206"/>
      <c r="C31" s="202"/>
      <c r="D31" s="202"/>
      <c r="E31" s="202"/>
      <c r="F31" s="202"/>
      <c r="G31" s="202"/>
      <c r="H31" s="211"/>
      <c r="I31" s="211"/>
      <c r="J31" s="211"/>
      <c r="K31" s="211"/>
      <c r="L31" s="211"/>
      <c r="M31" s="211"/>
      <c r="N31" s="211"/>
      <c r="O31" s="211"/>
      <c r="P31" s="211"/>
      <c r="Q31" s="211"/>
      <c r="R31" s="209"/>
      <c r="T31" s="212"/>
    </row>
    <row r="32" ht="14.25" customHeight="1" spans="2:20">
      <c r="B32" s="203" t="s">
        <v>397</v>
      </c>
      <c r="C32" s="204"/>
      <c r="D32" s="204"/>
      <c r="E32" s="204"/>
      <c r="F32" s="204"/>
      <c r="G32" s="204"/>
      <c r="H32" s="213"/>
      <c r="I32" s="213"/>
      <c r="J32" s="213"/>
      <c r="K32" s="213"/>
      <c r="L32" s="213"/>
      <c r="M32" s="213"/>
      <c r="N32" s="213"/>
      <c r="O32" s="213"/>
      <c r="P32" s="213"/>
      <c r="Q32" s="213"/>
      <c r="R32" s="209"/>
      <c r="T32" s="214"/>
    </row>
    <row r="33" ht="55.5" customHeight="1" spans="2:20">
      <c r="B33" s="206" t="s">
        <v>398</v>
      </c>
      <c r="C33" s="215"/>
      <c r="D33" s="215">
        <f>'Balance Sheet'!D40/AVERAGE('Balance Sheet'!C47,'Balance Sheet'!D47)</f>
        <v>4.5028206067871</v>
      </c>
      <c r="E33" s="215">
        <f>'Balance Sheet'!E40/AVERAGE('Balance Sheet'!D47,'Balance Sheet'!E47)</f>
        <v>4.19352647680609</v>
      </c>
      <c r="F33" s="215">
        <f>'Balance Sheet'!F40/AVERAGE('Balance Sheet'!E47,'Balance Sheet'!F47)</f>
        <v>3.97141043795429</v>
      </c>
      <c r="G33" s="215">
        <f>'Balance Sheet'!G40/AVERAGE('Balance Sheet'!F47,'Balance Sheet'!G47)</f>
        <v>3.16028882374809</v>
      </c>
      <c r="H33" s="216">
        <f>'Balance Sheet'!H40/AVERAGE('Balance Sheet'!G47,'Balance Sheet'!H47)</f>
        <v>3.24771774471092</v>
      </c>
      <c r="I33" s="216">
        <f>'Balance Sheet'!I40/AVERAGE('Balance Sheet'!H47,'Balance Sheet'!I47)</f>
        <v>3.19254520897844</v>
      </c>
      <c r="J33" s="216">
        <f>'Balance Sheet'!J40/AVERAGE('Balance Sheet'!I47,'Balance Sheet'!J47)</f>
        <v>3.10843931333993</v>
      </c>
      <c r="K33" s="216">
        <f>'Balance Sheet'!K40/AVERAGE('Balance Sheet'!J47,'Balance Sheet'!K47)</f>
        <v>3.00105954723876</v>
      </c>
      <c r="L33" s="216">
        <f>'Balance Sheet'!L40/AVERAGE('Balance Sheet'!K47,'Balance Sheet'!L47)</f>
        <v>2.8832096033221</v>
      </c>
      <c r="M33" s="216">
        <f>'Balance Sheet'!M40/AVERAGE('Balance Sheet'!L47,'Balance Sheet'!M47)</f>
        <v>2.77412962502108</v>
      </c>
      <c r="N33" s="216">
        <f>'Balance Sheet'!N40/AVERAGE('Balance Sheet'!M47,'Balance Sheet'!N47)</f>
        <v>2.66730680959012</v>
      </c>
      <c r="O33" s="216">
        <f>'Balance Sheet'!O40/AVERAGE('Balance Sheet'!N47,'Balance Sheet'!O47)</f>
        <v>2.56858069132716</v>
      </c>
      <c r="P33" s="216">
        <f>'Balance Sheet'!P40/AVERAGE('Balance Sheet'!O47,'Balance Sheet'!P47)</f>
        <v>2.47738016778108</v>
      </c>
      <c r="Q33" s="216">
        <f>'Balance Sheet'!Q40/AVERAGE('Balance Sheet'!P47,'Balance Sheet'!Q47)</f>
        <v>2.39587678016798</v>
      </c>
      <c r="R33" s="209"/>
      <c r="T33" s="210" t="s">
        <v>399</v>
      </c>
    </row>
    <row r="34" ht="57.75" customHeight="1" spans="2:20">
      <c r="B34" s="206" t="s">
        <v>400</v>
      </c>
      <c r="C34" s="215">
        <f>('Balance Sheet'!C50+'Balance Sheet'!C51+'Balance Sheet'!C61+'Balance Sheet'!C62)/'Balance Sheet'!C47</f>
        <v>1.84562897699462</v>
      </c>
      <c r="D34" s="215">
        <f>('Balance Sheet'!D50+'Balance Sheet'!D51+'Balance Sheet'!D61+'Balance Sheet'!D62)/'Balance Sheet'!D47</f>
        <v>2.12336686886945</v>
      </c>
      <c r="E34" s="215">
        <f>('Balance Sheet'!E50+'Balance Sheet'!E51+'Balance Sheet'!E61+'Balance Sheet'!E62)/'Balance Sheet'!E47</f>
        <v>2.04229191987033</v>
      </c>
      <c r="F34" s="215">
        <f>('Balance Sheet'!F50+'Balance Sheet'!F51+'Balance Sheet'!F61+'Balance Sheet'!F62)/'Balance Sheet'!F47</f>
        <v>1.39209814182398</v>
      </c>
      <c r="G34" s="215">
        <f>('Balance Sheet'!G50+'Balance Sheet'!G51+'Balance Sheet'!G61+'Balance Sheet'!G62)/'Balance Sheet'!G47</f>
        <v>0.997184678363409</v>
      </c>
      <c r="H34" s="216">
        <f>('Balance Sheet'!H50+'Balance Sheet'!H51+'Balance Sheet'!H61+'Balance Sheet'!H62)/'Balance Sheet'!H47</f>
        <v>1.137506913747</v>
      </c>
      <c r="I34" s="216">
        <f>('Balance Sheet'!I50+'Balance Sheet'!I51+'Balance Sheet'!I61+'Balance Sheet'!I62)/'Balance Sheet'!I47</f>
        <v>1.10664340964855</v>
      </c>
      <c r="J34" s="216">
        <f>('Balance Sheet'!J50+'Balance Sheet'!J51+'Balance Sheet'!J61+'Balance Sheet'!J62)/'Balance Sheet'!J47</f>
        <v>1.06320726200965</v>
      </c>
      <c r="K34" s="216">
        <f>('Balance Sheet'!K50+'Balance Sheet'!K51+'Balance Sheet'!K61+'Balance Sheet'!K62)/'Balance Sheet'!K47</f>
        <v>1.00596129851584</v>
      </c>
      <c r="L34" s="216">
        <f>('Balance Sheet'!L50+'Balance Sheet'!L51+'Balance Sheet'!L61+'Balance Sheet'!L62)/'Balance Sheet'!L47</f>
        <v>0.954639025067825</v>
      </c>
      <c r="M34" s="216">
        <f>('Balance Sheet'!M50+'Balance Sheet'!M51+'Balance Sheet'!M61+'Balance Sheet'!M62)/'Balance Sheet'!M47</f>
        <v>0.902570998659934</v>
      </c>
      <c r="N34" s="216">
        <f>('Balance Sheet'!N50+'Balance Sheet'!N51+'Balance Sheet'!N61+'Balance Sheet'!N62)/'Balance Sheet'!N47</f>
        <v>0.854354752638726</v>
      </c>
      <c r="O34" s="216">
        <f>('Balance Sheet'!O50+'Balance Sheet'!O51+'Balance Sheet'!O61+'Balance Sheet'!O62)/'Balance Sheet'!O47</f>
        <v>0.809480249177724</v>
      </c>
      <c r="P34" s="216">
        <f>('Balance Sheet'!P50+'Balance Sheet'!P51+'Balance Sheet'!P61+'Balance Sheet'!P62)/'Balance Sheet'!P47</f>
        <v>0.769484329610516</v>
      </c>
      <c r="Q34" s="216">
        <f>('Balance Sheet'!Q50+'Balance Sheet'!Q51+'Balance Sheet'!Q61+'Balance Sheet'!Q62)/'Balance Sheet'!Q47</f>
        <v>0.734521195562021</v>
      </c>
      <c r="R34" s="209"/>
      <c r="T34" s="210" t="s">
        <v>401</v>
      </c>
    </row>
    <row r="35" ht="48.75" customHeight="1" spans="2:20">
      <c r="B35" s="206" t="s">
        <v>402</v>
      </c>
      <c r="C35" s="207">
        <f>('Balance Sheet'!C50+'Balance Sheet'!C51)/(('Balance Sheet'!C50+'Balance Sheet'!C51)+'Balance Sheet'!C47)</f>
        <v>0.607996889046938</v>
      </c>
      <c r="D35" s="207">
        <f>('Balance Sheet'!D50+'Balance Sheet'!D51)/(('Balance Sheet'!D50+'Balance Sheet'!D51)+'Balance Sheet'!D47)</f>
        <v>0.65534427915338</v>
      </c>
      <c r="E35" s="207">
        <f>('Balance Sheet'!E50+'Balance Sheet'!E51)/(('Balance Sheet'!E50+'Balance Sheet'!E51)+'Balance Sheet'!E47)</f>
        <v>0.63655502978789</v>
      </c>
      <c r="F35" s="207">
        <f>('Balance Sheet'!F50+'Balance Sheet'!F51)/(('Balance Sheet'!F50+'Balance Sheet'!F51)+'Balance Sheet'!F47)</f>
        <v>0.51125185349374</v>
      </c>
      <c r="G35" s="207">
        <f>('Balance Sheet'!G50+'Balance Sheet'!G51)/(('Balance Sheet'!G50+'Balance Sheet'!G51)+'Balance Sheet'!G47)</f>
        <v>0.456484422735509</v>
      </c>
      <c r="H35" s="208">
        <f>('Balance Sheet'!H50+'Balance Sheet'!H51)/(('Balance Sheet'!H50+'Balance Sheet'!H51)+'Balance Sheet'!H47)</f>
        <v>0.473120468297476</v>
      </c>
      <c r="I35" s="208">
        <f>('Balance Sheet'!I50+'Balance Sheet'!I51)/(('Balance Sheet'!I50+'Balance Sheet'!I51)+'Balance Sheet'!I47)</f>
        <v>0.466268972832897</v>
      </c>
      <c r="J35" s="208">
        <f>('Balance Sheet'!J50+'Balance Sheet'!J51)/(('Balance Sheet'!J50+'Balance Sheet'!J51)+'Balance Sheet'!J47)</f>
        <v>0.456318944536063</v>
      </c>
      <c r="K35" s="208">
        <f>('Balance Sheet'!K50+'Balance Sheet'!K51)/(('Balance Sheet'!K50+'Balance Sheet'!K51)+'Balance Sheet'!K47)</f>
        <v>0.442624535953065</v>
      </c>
      <c r="L35" s="208">
        <f>('Balance Sheet'!L50+'Balance Sheet'!L51)/(('Balance Sheet'!L50+'Balance Sheet'!L51)+'Balance Sheet'!L47)</f>
        <v>0.42974715454732</v>
      </c>
      <c r="M35" s="208">
        <f>('Balance Sheet'!M50+'Balance Sheet'!M51)/(('Balance Sheet'!M50+'Balance Sheet'!M51)+'Balance Sheet'!M47)</f>
        <v>0.416060000109661</v>
      </c>
      <c r="N35" s="208">
        <f>('Balance Sheet'!N50+'Balance Sheet'!N51)/(('Balance Sheet'!N50+'Balance Sheet'!N51)+'Balance Sheet'!N47)</f>
        <v>0.40278612042021</v>
      </c>
      <c r="O35" s="208">
        <f>('Balance Sheet'!O50+'Balance Sheet'!O51)/(('Balance Sheet'!O50+'Balance Sheet'!O51)+'Balance Sheet'!O47)</f>
        <v>0.389878316084682</v>
      </c>
      <c r="P35" s="208">
        <f>('Balance Sheet'!P50+'Balance Sheet'!P51)/(('Balance Sheet'!P50+'Balance Sheet'!P51)+'Balance Sheet'!P47)</f>
        <v>0.377894291317874</v>
      </c>
      <c r="Q35" s="208">
        <f>('Balance Sheet'!Q50+'Balance Sheet'!Q51)/(('Balance Sheet'!Q50+'Balance Sheet'!Q51)+'Balance Sheet'!Q47)</f>
        <v>0.367025859776678</v>
      </c>
      <c r="R35" s="209"/>
      <c r="T35" s="210" t="s">
        <v>403</v>
      </c>
    </row>
    <row r="36" ht="14.25" customHeight="1" spans="2:20">
      <c r="B36" s="206"/>
      <c r="C36" s="202"/>
      <c r="D36" s="202"/>
      <c r="E36" s="202"/>
      <c r="F36" s="202"/>
      <c r="G36" s="202"/>
      <c r="H36" s="211"/>
      <c r="I36" s="211"/>
      <c r="J36" s="211"/>
      <c r="K36" s="211"/>
      <c r="L36" s="211"/>
      <c r="M36" s="211"/>
      <c r="N36" s="211"/>
      <c r="O36" s="211"/>
      <c r="P36" s="211"/>
      <c r="Q36" s="211"/>
      <c r="R36" s="209"/>
      <c r="T36" s="214"/>
    </row>
    <row r="37" ht="14.25" customHeight="1" spans="2:20">
      <c r="B37" s="203" t="s">
        <v>404</v>
      </c>
      <c r="C37" s="204"/>
      <c r="D37" s="204"/>
      <c r="E37" s="204"/>
      <c r="F37" s="204"/>
      <c r="G37" s="204"/>
      <c r="H37" s="213"/>
      <c r="I37" s="213"/>
      <c r="J37" s="213"/>
      <c r="K37" s="213"/>
      <c r="L37" s="213"/>
      <c r="M37" s="213"/>
      <c r="N37" s="213"/>
      <c r="O37" s="213"/>
      <c r="P37" s="213"/>
      <c r="Q37" s="213"/>
      <c r="R37" s="209"/>
      <c r="T37" s="212"/>
    </row>
    <row r="38" ht="51.75" customHeight="1" spans="2:20">
      <c r="B38" s="206" t="s">
        <v>405</v>
      </c>
      <c r="C38" s="215"/>
      <c r="D38" s="215">
        <f>'Income Statement'!D13/AVERAGE('Balance Sheet'!C33,'Balance Sheet'!D33)</f>
        <v>34.8560906727049</v>
      </c>
      <c r="E38" s="215">
        <f>'Income Statement'!E13/AVERAGE('Balance Sheet'!D33,'Balance Sheet'!E33)</f>
        <v>34.7719193496532</v>
      </c>
      <c r="F38" s="215">
        <f>'Income Statement'!F13/AVERAGE('Balance Sheet'!E33,'Balance Sheet'!F33)</f>
        <v>28.6552029811054</v>
      </c>
      <c r="G38" s="215">
        <f>'Income Statement'!G13/AVERAGE('Balance Sheet'!F33,'Balance Sheet'!G33)</f>
        <v>27.7050403996553</v>
      </c>
      <c r="H38" s="216">
        <f>'Income Statement'!H13/AVERAGE('Balance Sheet'!G33,'Balance Sheet'!H33)</f>
        <v>30.1862763793157</v>
      </c>
      <c r="I38" s="216">
        <f>'Income Statement'!I13/AVERAGE('Balance Sheet'!H33,'Balance Sheet'!I33)</f>
        <v>30.3817129811282</v>
      </c>
      <c r="J38" s="216">
        <f>'Income Statement'!J13/AVERAGE('Balance Sheet'!I33,'Balance Sheet'!J33)</f>
        <v>30.2495733899085</v>
      </c>
      <c r="K38" s="216">
        <f>'Income Statement'!K13/AVERAGE('Balance Sheet'!J33,'Balance Sheet'!K33)</f>
        <v>30.1162761957734</v>
      </c>
      <c r="L38" s="216">
        <f>'Income Statement'!L13/AVERAGE('Balance Sheet'!K33,'Balance Sheet'!L33)</f>
        <v>29.9818848317034</v>
      </c>
      <c r="M38" s="216">
        <f>'Income Statement'!M13/AVERAGE('Balance Sheet'!L33,'Balance Sheet'!M33)</f>
        <v>29.8464718736222</v>
      </c>
      <c r="N38" s="216">
        <f>'Income Statement'!N13/AVERAGE('Balance Sheet'!M33,'Balance Sheet'!N33)</f>
        <v>29.7101195756648</v>
      </c>
      <c r="O38" s="216">
        <f>'Income Statement'!O13/AVERAGE('Balance Sheet'!N33,'Balance Sheet'!O33)</f>
        <v>29.5729203157761</v>
      </c>
      <c r="P38" s="216">
        <f>'Income Statement'!P13/AVERAGE('Balance Sheet'!O33,'Balance Sheet'!P33)</f>
        <v>29.434976902069</v>
      </c>
      <c r="Q38" s="216">
        <f>'Income Statement'!Q13/AVERAGE('Balance Sheet'!P33,'Balance Sheet'!Q33)</f>
        <v>29.2964026788251</v>
      </c>
      <c r="R38" s="209"/>
      <c r="T38" s="210" t="s">
        <v>406</v>
      </c>
    </row>
    <row r="39" ht="54" customHeight="1" spans="2:20">
      <c r="B39" s="206" t="s">
        <v>407</v>
      </c>
      <c r="C39" s="215"/>
      <c r="D39" s="215">
        <f>'Income Statement'!D23/AVERAGE('Balance Sheet'!C64,'Balance Sheet'!D64)</f>
        <v>2.18345566177192</v>
      </c>
      <c r="E39" s="215">
        <f>'Income Statement'!E23/AVERAGE('Balance Sheet'!D64,'Balance Sheet'!E64)</f>
        <v>2.10770707556253</v>
      </c>
      <c r="F39" s="215">
        <f>'Income Statement'!F23/AVERAGE('Balance Sheet'!E64,'Balance Sheet'!F64)</f>
        <v>2.17847289121281</v>
      </c>
      <c r="G39" s="215">
        <f>'Income Statement'!G23/AVERAGE('Balance Sheet'!F64,'Balance Sheet'!G64)</f>
        <v>2.19549134351903</v>
      </c>
      <c r="H39" s="216">
        <f>'Income Statement'!H23/AVERAGE('Balance Sheet'!G64,'Balance Sheet'!H64)</f>
        <v>2.3097632327275</v>
      </c>
      <c r="I39" s="216">
        <f>'Income Statement'!I23/AVERAGE('Balance Sheet'!H64,'Balance Sheet'!I64)</f>
        <v>2.16863690239867</v>
      </c>
      <c r="J39" s="216">
        <f>'Income Statement'!J23/AVERAGE('Balance Sheet'!I64,'Balance Sheet'!J64)</f>
        <v>2.15920482087104</v>
      </c>
      <c r="K39" s="216">
        <f>'Income Statement'!K23/AVERAGE('Balance Sheet'!J64,'Balance Sheet'!K64)</f>
        <v>2.14969011001958</v>
      </c>
      <c r="L39" s="216">
        <f>'Income Statement'!L23/AVERAGE('Balance Sheet'!K64,'Balance Sheet'!L64)</f>
        <v>2.14009729767003</v>
      </c>
      <c r="M39" s="216">
        <f>'Income Statement'!M23/AVERAGE('Balance Sheet'!L64,'Balance Sheet'!M64)</f>
        <v>2.13043156426848</v>
      </c>
      <c r="N39" s="216">
        <f>'Income Statement'!N23/AVERAGE('Balance Sheet'!M64,'Balance Sheet'!N64)</f>
        <v>2.12069878108865</v>
      </c>
      <c r="O39" s="216">
        <f>'Income Statement'!O23/AVERAGE('Balance Sheet'!N64,'Balance Sheet'!O64)</f>
        <v>2.11090554203852</v>
      </c>
      <c r="P39" s="216">
        <f>'Income Statement'!P23/AVERAGE('Balance Sheet'!O64,'Balance Sheet'!P64)</f>
        <v>2.10105918552815</v>
      </c>
      <c r="Q39" s="216">
        <f>'Income Statement'!Q23/AVERAGE('Balance Sheet'!P64,'Balance Sheet'!Q64)</f>
        <v>2.09116780203589</v>
      </c>
      <c r="R39" s="209"/>
      <c r="T39" s="210" t="s">
        <v>408</v>
      </c>
    </row>
    <row r="40" ht="66.75" customHeight="1" spans="2:20">
      <c r="B40" s="206" t="s">
        <v>409</v>
      </c>
      <c r="C40" s="215"/>
      <c r="D40" s="215">
        <f>'Income Statement'!D13/AVERAGE(FAS!C167,FAS!D167)</f>
        <v>0.567149658116388</v>
      </c>
      <c r="E40" s="215">
        <f>'Income Statement'!E13/AVERAGE(FAS!D167,FAS!E167)</f>
        <v>0.534277229763012</v>
      </c>
      <c r="F40" s="215">
        <f>'Income Statement'!F13/AVERAGE(FAS!E167,FAS!F167)</f>
        <v>0.561273973906512</v>
      </c>
      <c r="G40" s="215">
        <f>'Income Statement'!G13/AVERAGE(FAS!F167,FAS!G167)</f>
        <v>0.622217662573897</v>
      </c>
      <c r="H40" s="216">
        <f>'Income Statement'!H13/AVERAGE(FAS!G167,FAS!H167)</f>
        <v>0.676528487172198</v>
      </c>
      <c r="I40" s="216">
        <f>'Income Statement'!I13/AVERAGE(FAS!H167,FAS!I167)</f>
        <v>0.670124896855642</v>
      </c>
      <c r="J40" s="216">
        <f>'Income Statement'!J13/AVERAGE(FAS!I167,FAS!J167)</f>
        <v>0.667316554119003</v>
      </c>
      <c r="K40" s="216">
        <f>'Income Statement'!K13/AVERAGE(FAS!J167,FAS!K167)</f>
        <v>0.653361402373969</v>
      </c>
      <c r="L40" s="216">
        <f>'Income Statement'!L13/AVERAGE(FAS!K167,FAS!L167)</f>
        <v>0.631300113630327</v>
      </c>
      <c r="M40" s="216">
        <f>'Income Statement'!M13/AVERAGE(FAS!L167,FAS!M167)</f>
        <v>0.612693842132434</v>
      </c>
      <c r="N40" s="216">
        <f>'Income Statement'!N13/AVERAGE(FAS!M167,FAS!N167)</f>
        <v>0.584463243708266</v>
      </c>
      <c r="O40" s="216">
        <f>'Income Statement'!O13/AVERAGE(FAS!N167,FAS!O167)</f>
        <v>0.550002021603306</v>
      </c>
      <c r="P40" s="216">
        <f>'Income Statement'!P13/AVERAGE(FAS!O167,FAS!P167)</f>
        <v>0.51955392048075</v>
      </c>
      <c r="Q40" s="216">
        <f>'Income Statement'!Q13/AVERAGE(FAS!P167,FAS!Q167)</f>
        <v>0.482288022716312</v>
      </c>
      <c r="R40" s="209"/>
      <c r="T40" s="210" t="s">
        <v>410</v>
      </c>
    </row>
    <row r="41" ht="66.75" customHeight="1" spans="2:20">
      <c r="B41" s="206" t="s">
        <v>411</v>
      </c>
      <c r="C41" s="219">
        <f>IFERROR('Income Statement'!C13/'Working Capital'!C18,"n.a.")</f>
        <v>-4.71286363508286</v>
      </c>
      <c r="D41" s="220">
        <f>IFERROR('Income Statement'!D13/'Working Capital'!D18,"n.a.")</f>
        <v>-4.8884646926419</v>
      </c>
      <c r="E41" s="220">
        <f>IFERROR('Income Statement'!E13/'Working Capital'!E18,"n.a.")</f>
        <v>-5.04038827065767</v>
      </c>
      <c r="F41" s="220">
        <f>IFERROR('Income Statement'!F13/'Working Capital'!F18,"n.a.")</f>
        <v>-5.77124805348092</v>
      </c>
      <c r="G41" s="220">
        <f>IFERROR('Income Statement'!G13/'Working Capital'!G18,"n.a.")</f>
        <v>-5.86743859899497</v>
      </c>
      <c r="H41" s="221">
        <f>IFERROR('Income Statement'!H13/'Working Capital'!H18,"n.a.")</f>
        <v>-5.21457614147402</v>
      </c>
      <c r="I41" s="221">
        <f>IFERROR('Income Statement'!I13/'Working Capital'!I18,"n.a.")</f>
        <v>-5.21457614147402</v>
      </c>
      <c r="J41" s="221">
        <f>IFERROR('Income Statement'!J13/'Working Capital'!J18,"n.a.")</f>
        <v>-5.21457614147402</v>
      </c>
      <c r="K41" s="221">
        <f>IFERROR('Income Statement'!K13/'Working Capital'!K18,"n.a.")</f>
        <v>-5.21457614147402</v>
      </c>
      <c r="L41" s="221">
        <f>IFERROR('Income Statement'!L13/'Working Capital'!L18,"n.a.")</f>
        <v>-5.21457614147402</v>
      </c>
      <c r="M41" s="221">
        <f>IFERROR('Income Statement'!M13/'Working Capital'!M18,"n.a.")</f>
        <v>-5.21457614147402</v>
      </c>
      <c r="N41" s="221">
        <f>IFERROR('Income Statement'!N13/'Working Capital'!N18,"n.a.")</f>
        <v>-5.21457614147402</v>
      </c>
      <c r="O41" s="221">
        <f>IFERROR('Income Statement'!O13/'Working Capital'!O18,"n.a.")</f>
        <v>-5.21457614147402</v>
      </c>
      <c r="P41" s="221">
        <f>IFERROR('Income Statement'!P13/'Working Capital'!P18,"n.a.")</f>
        <v>-5.21457614147402</v>
      </c>
      <c r="Q41" s="221">
        <f>IFERROR('Income Statement'!Q13/'Working Capital'!Q18,"n.a.")</f>
        <v>-5.21457614147402</v>
      </c>
      <c r="R41" s="209"/>
      <c r="T41" s="210" t="s">
        <v>412</v>
      </c>
    </row>
    <row r="42" ht="60.75" customHeight="1" spans="2:20">
      <c r="B42" s="206" t="s">
        <v>413</v>
      </c>
      <c r="C42" s="207">
        <f>IFERROR(('Income Statement'!C29*(1-C15))/('Balance Sheet'!C47+'Balance Sheet'!C50+'Balance Sheet'!C51+'Balance Sheet'!C61+'Balance Sheet'!C62-'Balance Sheet'!C34-'Balance Sheet'!C35),0)</f>
        <v>0.0669757046236122</v>
      </c>
      <c r="D42" s="207">
        <f>IFERROR(('Income Statement'!D29*(1-D15))/('Balance Sheet'!D47+'Balance Sheet'!D50+'Balance Sheet'!D51+'Balance Sheet'!D61+'Balance Sheet'!D62-'Balance Sheet'!D34-'Balance Sheet'!D35),0)</f>
        <v>0.0832046702308603</v>
      </c>
      <c r="E42" s="207">
        <f>IFERROR(('Income Statement'!E29*(1-E15))/('Balance Sheet'!E47+'Balance Sheet'!E50+'Balance Sheet'!E51+'Balance Sheet'!E61+'Balance Sheet'!E62-'Balance Sheet'!E34-'Balance Sheet'!E35),0)</f>
        <v>0.0889944199917826</v>
      </c>
      <c r="F42" s="207">
        <f>IFERROR(('Income Statement'!F29*(1-F15))/('Balance Sheet'!F47+'Balance Sheet'!F50+'Balance Sheet'!F51+'Balance Sheet'!F61+'Balance Sheet'!F62-'Balance Sheet'!F34-'Balance Sheet'!F35),0)</f>
        <v>0.136956815658503</v>
      </c>
      <c r="G42" s="207">
        <f>IFERROR(('Income Statement'!G29*(1-G15))/('Balance Sheet'!G47+'Balance Sheet'!G50+'Balance Sheet'!G51+'Balance Sheet'!G61+'Balance Sheet'!G62-'Balance Sheet'!G34-'Balance Sheet'!G35),0)</f>
        <v>0.144732325509429</v>
      </c>
      <c r="H42" s="208">
        <f>IFERROR(('Income Statement'!H29*(1-H15))/('Balance Sheet'!H47+'Balance Sheet'!H50+'Balance Sheet'!H51+'Balance Sheet'!H61+'Balance Sheet'!H62-'Balance Sheet'!H34-'Balance Sheet'!H35),0)</f>
        <v>0.135970767618535</v>
      </c>
      <c r="I42" s="208">
        <f>IFERROR(('Income Statement'!I29*(1-I15))/('Balance Sheet'!I47+'Balance Sheet'!I50+'Balance Sheet'!I51+'Balance Sheet'!I61+'Balance Sheet'!I62-'Balance Sheet'!I34-'Balance Sheet'!I35),0)</f>
        <v>0.145658442306856</v>
      </c>
      <c r="J42" s="208">
        <f>IFERROR(('Income Statement'!J29*(1-J15))/('Balance Sheet'!J47+'Balance Sheet'!J50+'Balance Sheet'!J51+'Balance Sheet'!J61+'Balance Sheet'!J62-'Balance Sheet'!J34-'Balance Sheet'!J35),0)</f>
        <v>0.153305758579174</v>
      </c>
      <c r="K42" s="208">
        <f>IFERROR(('Income Statement'!K29*(1-K15))/('Balance Sheet'!K47+'Balance Sheet'!K50+'Balance Sheet'!K51+'Balance Sheet'!K61+'Balance Sheet'!K62-'Balance Sheet'!K34-'Balance Sheet'!K35),0)</f>
        <v>0.155289452991724</v>
      </c>
      <c r="L42" s="208">
        <f>IFERROR(('Income Statement'!L29*(1-L15))/('Balance Sheet'!L47+'Balance Sheet'!L50+'Balance Sheet'!L51+'Balance Sheet'!L61+'Balance Sheet'!L62-'Balance Sheet'!L34-'Balance Sheet'!L35),0)</f>
        <v>0.155848604246857</v>
      </c>
      <c r="M42" s="208">
        <f>IFERROR(('Income Statement'!M29*(1-M15))/('Balance Sheet'!M47+'Balance Sheet'!M50+'Balance Sheet'!M51+'Balance Sheet'!M61+'Balance Sheet'!M62-'Balance Sheet'!M34-'Balance Sheet'!M35),0)</f>
        <v>0.156674031844412</v>
      </c>
      <c r="N42" s="208">
        <f>IFERROR(('Income Statement'!N29*(1-N15))/('Balance Sheet'!N47+'Balance Sheet'!N50+'Balance Sheet'!N51+'Balance Sheet'!N61+'Balance Sheet'!N62-'Balance Sheet'!N34-'Balance Sheet'!N35),0)</f>
        <v>0.150345336433661</v>
      </c>
      <c r="O42" s="208">
        <f>IFERROR(('Income Statement'!O29*(1-O15))/('Balance Sheet'!O47+'Balance Sheet'!O50+'Balance Sheet'!O51+'Balance Sheet'!O61+'Balance Sheet'!O62-'Balance Sheet'!O34-'Balance Sheet'!O35),0)</f>
        <v>0.145230075537971</v>
      </c>
      <c r="P42" s="208">
        <f>IFERROR(('Income Statement'!P29*(1-P15))/('Balance Sheet'!P47+'Balance Sheet'!P50+'Balance Sheet'!P51+'Balance Sheet'!P61+'Balance Sheet'!P62-'Balance Sheet'!P34-'Balance Sheet'!P35),0)</f>
        <v>0.138976521496582</v>
      </c>
      <c r="Q42" s="208">
        <f>IFERROR(('Income Statement'!Q29*(1-Q15))/('Balance Sheet'!Q47+'Balance Sheet'!Q50+'Balance Sheet'!Q51+'Balance Sheet'!Q61+'Balance Sheet'!Q62-'Balance Sheet'!Q34-'Balance Sheet'!Q35),0)</f>
        <v>0.128934575013061</v>
      </c>
      <c r="R42" s="209"/>
      <c r="T42" s="210" t="s">
        <v>414</v>
      </c>
    </row>
    <row r="44" ht="18" customHeight="1" spans="2:20">
      <c r="B44" s="222"/>
      <c r="C44" s="222"/>
      <c r="D44" s="222"/>
      <c r="E44" s="222"/>
      <c r="F44" s="222"/>
      <c r="G44" s="222"/>
      <c r="H44" s="222"/>
      <c r="I44" s="222"/>
      <c r="J44" s="222"/>
      <c r="K44" s="222"/>
      <c r="L44" s="222"/>
      <c r="M44" s="222"/>
      <c r="N44" s="222"/>
      <c r="O44" s="222"/>
      <c r="P44" s="222"/>
      <c r="Q44" s="222"/>
      <c r="R44" s="222"/>
    </row>
    <row r="45" ht="14.25" customHeight="1" spans="2:20">
      <c r="C45" s="125"/>
      <c r="D45" s="125"/>
      <c r="E45" s="125"/>
      <c r="F45" s="125"/>
      <c r="G45" s="125"/>
      <c r="H45" s="125"/>
      <c r="I45" s="125"/>
      <c r="J45" s="125"/>
      <c r="K45" s="125"/>
      <c r="L45" s="125"/>
      <c r="M45" s="125"/>
      <c r="N45" s="125"/>
      <c r="O45" s="125"/>
      <c r="P45" s="125"/>
      <c r="Q45" s="125"/>
      <c r="R45" s="125"/>
    </row>
    <row r="46" ht="15" customHeight="1" spans="2:20">
      <c r="B46" s="223"/>
      <c r="C46" s="223"/>
      <c r="D46" s="223"/>
      <c r="E46" s="223"/>
      <c r="F46" s="223"/>
      <c r="G46" s="223"/>
      <c r="H46" s="223"/>
      <c r="I46" s="223"/>
      <c r="J46" s="223"/>
      <c r="K46" s="223"/>
      <c r="L46" s="223"/>
      <c r="M46" s="223"/>
      <c r="N46" s="223"/>
      <c r="O46" s="223"/>
      <c r="P46" s="223"/>
      <c r="Q46" s="223"/>
      <c r="R46" s="223"/>
    </row>
    <row r="47" ht="61.5" customHeight="1" spans="2:20">
      <c r="B47" s="224"/>
      <c r="C47" s="224"/>
      <c r="D47" s="224"/>
      <c r="E47" s="224"/>
      <c r="F47" s="224"/>
      <c r="G47" s="224"/>
      <c r="H47" s="224"/>
      <c r="I47" s="224"/>
      <c r="J47" s="224"/>
      <c r="K47" s="224"/>
      <c r="L47" s="224"/>
      <c r="M47" s="224"/>
      <c r="N47" s="224"/>
      <c r="O47" s="224"/>
      <c r="P47" s="224"/>
      <c r="Q47" s="224"/>
      <c r="R47" s="224"/>
    </row>
    <row r="48" ht="14.25" customHeight="1" spans="2:20">
      <c r="C48" s="125"/>
      <c r="D48" s="125"/>
      <c r="E48" s="125"/>
      <c r="F48" s="125"/>
      <c r="G48" s="125"/>
      <c r="H48" s="125"/>
      <c r="I48" s="125"/>
      <c r="J48" s="125"/>
      <c r="K48" s="125"/>
      <c r="L48" s="125"/>
      <c r="M48" s="125"/>
      <c r="N48" s="125"/>
      <c r="O48" s="125"/>
      <c r="P48" s="125"/>
      <c r="Q48" s="125"/>
      <c r="R48" s="125"/>
    </row>
    <row r="49" ht="15" customHeight="1" spans="2:18">
      <c r="B49" s="223"/>
      <c r="C49" s="223"/>
      <c r="D49" s="223"/>
      <c r="E49" s="223"/>
      <c r="F49" s="223"/>
      <c r="G49" s="223"/>
      <c r="H49" s="223"/>
      <c r="I49" s="223"/>
      <c r="J49" s="223"/>
      <c r="K49" s="223"/>
      <c r="L49" s="223"/>
      <c r="M49" s="223"/>
      <c r="N49" s="223"/>
      <c r="O49" s="223"/>
      <c r="P49" s="223"/>
      <c r="Q49" s="223"/>
      <c r="R49" s="223"/>
    </row>
    <row r="50" ht="67.5" customHeight="1" spans="2:18">
      <c r="B50" s="224"/>
      <c r="C50" s="224"/>
      <c r="D50" s="224"/>
      <c r="E50" s="224"/>
      <c r="F50" s="224"/>
      <c r="G50" s="224"/>
      <c r="H50" s="224"/>
      <c r="I50" s="224"/>
      <c r="J50" s="224"/>
      <c r="K50" s="224"/>
      <c r="L50" s="224"/>
      <c r="M50" s="224"/>
      <c r="N50" s="224"/>
      <c r="O50" s="224"/>
      <c r="P50" s="224"/>
      <c r="Q50" s="224"/>
      <c r="R50" s="224"/>
    </row>
    <row r="51" ht="14.25" customHeight="1" spans="2:18">
      <c r="C51" s="125"/>
      <c r="D51" s="125"/>
      <c r="E51" s="125"/>
      <c r="F51" s="125"/>
      <c r="G51" s="125"/>
      <c r="H51" s="125"/>
      <c r="I51" s="125"/>
      <c r="J51" s="125"/>
      <c r="K51" s="125"/>
      <c r="L51" s="125"/>
      <c r="M51" s="125"/>
      <c r="N51" s="125"/>
      <c r="O51" s="125"/>
      <c r="P51" s="125"/>
      <c r="Q51" s="125"/>
      <c r="R51" s="125"/>
    </row>
    <row r="52" ht="15" customHeight="1" spans="2:18">
      <c r="B52" s="223"/>
      <c r="C52" s="223"/>
      <c r="D52" s="223"/>
      <c r="E52" s="223"/>
      <c r="F52" s="223"/>
      <c r="G52" s="223"/>
      <c r="H52" s="223"/>
      <c r="I52" s="223"/>
      <c r="J52" s="223"/>
      <c r="K52" s="223"/>
      <c r="L52" s="223"/>
      <c r="M52" s="223"/>
      <c r="N52" s="223"/>
      <c r="O52" s="223"/>
      <c r="P52" s="223"/>
      <c r="Q52" s="223"/>
      <c r="R52" s="223"/>
    </row>
    <row r="53" ht="61.5" customHeight="1" spans="2:18">
      <c r="B53" s="224"/>
      <c r="C53" s="224"/>
      <c r="D53" s="224"/>
      <c r="E53" s="224"/>
      <c r="F53" s="224"/>
      <c r="G53" s="224"/>
      <c r="H53" s="224"/>
      <c r="I53" s="224"/>
      <c r="J53" s="224"/>
      <c r="K53" s="224"/>
      <c r="L53" s="224"/>
      <c r="M53" s="224"/>
      <c r="N53" s="224"/>
      <c r="O53" s="224"/>
      <c r="P53" s="224"/>
      <c r="Q53" s="224"/>
      <c r="R53" s="224"/>
    </row>
    <row r="54" ht="14.25" customHeight="1" spans="2:18">
      <c r="C54" s="125"/>
      <c r="D54" s="125"/>
      <c r="E54" s="125"/>
      <c r="F54" s="125"/>
      <c r="G54" s="125"/>
      <c r="H54" s="125"/>
      <c r="I54" s="125"/>
      <c r="J54" s="125"/>
      <c r="K54" s="125"/>
      <c r="L54" s="125"/>
      <c r="M54" s="125"/>
      <c r="N54" s="125"/>
      <c r="O54" s="125"/>
      <c r="P54" s="125"/>
      <c r="Q54" s="125"/>
      <c r="R54" s="125"/>
    </row>
    <row r="55" ht="15" customHeight="1" spans="2:18">
      <c r="B55" s="223"/>
      <c r="C55" s="223"/>
      <c r="D55" s="223"/>
      <c r="E55" s="223"/>
      <c r="F55" s="223"/>
      <c r="G55" s="223"/>
      <c r="H55" s="223"/>
      <c r="I55" s="223"/>
      <c r="J55" s="223"/>
      <c r="K55" s="223"/>
      <c r="L55" s="223"/>
      <c r="M55" s="223"/>
      <c r="N55" s="223"/>
      <c r="O55" s="223"/>
      <c r="P55" s="223"/>
      <c r="Q55" s="223"/>
      <c r="R55" s="223"/>
    </row>
    <row r="56" ht="49.5" customHeight="1" spans="2:18">
      <c r="B56" s="224"/>
      <c r="C56" s="224"/>
      <c r="D56" s="224"/>
      <c r="E56" s="224"/>
      <c r="F56" s="224"/>
      <c r="G56" s="224"/>
      <c r="H56" s="224"/>
      <c r="I56" s="224"/>
      <c r="J56" s="224"/>
      <c r="K56" s="224"/>
      <c r="L56" s="224"/>
      <c r="M56" s="224"/>
      <c r="N56" s="224"/>
      <c r="O56" s="224"/>
      <c r="P56" s="224"/>
      <c r="Q56" s="224"/>
      <c r="R56" s="224"/>
    </row>
    <row r="57" ht="14.25" customHeight="1" spans="2:18">
      <c r="C57" s="125"/>
      <c r="D57" s="125"/>
      <c r="E57" s="125"/>
      <c r="F57" s="125"/>
      <c r="G57" s="125"/>
      <c r="H57" s="125"/>
      <c r="I57" s="125"/>
      <c r="J57" s="125"/>
      <c r="K57" s="125"/>
      <c r="L57" s="125"/>
      <c r="M57" s="125"/>
      <c r="N57" s="125"/>
      <c r="O57" s="125"/>
      <c r="P57" s="125"/>
      <c r="Q57" s="125"/>
      <c r="R57" s="125"/>
    </row>
    <row r="58" ht="15" customHeight="1" spans="2:18">
      <c r="B58" s="223"/>
      <c r="C58" s="223"/>
      <c r="D58" s="223"/>
      <c r="E58" s="223"/>
      <c r="F58" s="223"/>
      <c r="G58" s="223"/>
      <c r="H58" s="223"/>
      <c r="I58" s="223"/>
      <c r="J58" s="223"/>
      <c r="K58" s="223"/>
      <c r="L58" s="223"/>
      <c r="M58" s="223"/>
      <c r="N58" s="223"/>
      <c r="O58" s="223"/>
      <c r="P58" s="223"/>
      <c r="Q58" s="223"/>
      <c r="R58" s="223"/>
    </row>
    <row r="59" ht="55.5" customHeight="1" spans="2:18">
      <c r="B59" s="224"/>
      <c r="C59" s="224"/>
      <c r="D59" s="224"/>
      <c r="E59" s="224"/>
      <c r="F59" s="224"/>
      <c r="G59" s="224"/>
      <c r="H59" s="224"/>
      <c r="I59" s="224"/>
      <c r="J59" s="224"/>
      <c r="K59" s="224"/>
      <c r="L59" s="224"/>
      <c r="M59" s="224"/>
      <c r="N59" s="224"/>
      <c r="O59" s="224"/>
      <c r="P59" s="224"/>
      <c r="Q59" s="224"/>
      <c r="R59" s="224"/>
    </row>
    <row r="60" ht="14.25" customHeight="1" spans="2:18">
      <c r="C60" s="125"/>
      <c r="D60" s="125"/>
      <c r="E60" s="125"/>
      <c r="F60" s="125"/>
      <c r="G60" s="125"/>
      <c r="H60" s="125"/>
      <c r="I60" s="125"/>
      <c r="J60" s="125"/>
      <c r="K60" s="125"/>
      <c r="L60" s="125"/>
      <c r="M60" s="125"/>
      <c r="N60" s="125"/>
      <c r="O60" s="125"/>
      <c r="P60" s="125"/>
      <c r="Q60" s="125"/>
      <c r="R60" s="125"/>
    </row>
    <row r="61" ht="15" customHeight="1" spans="2:18">
      <c r="B61" s="223"/>
      <c r="C61" s="223"/>
      <c r="D61" s="223"/>
      <c r="E61" s="223"/>
      <c r="F61" s="223"/>
      <c r="G61" s="223"/>
      <c r="H61" s="223"/>
      <c r="I61" s="223"/>
      <c r="J61" s="223"/>
      <c r="K61" s="223"/>
      <c r="L61" s="223"/>
      <c r="M61" s="223"/>
      <c r="N61" s="223"/>
      <c r="O61" s="223"/>
      <c r="P61" s="223"/>
      <c r="Q61" s="223"/>
      <c r="R61" s="223"/>
    </row>
    <row r="62" ht="57.75" customHeight="1" spans="2:18">
      <c r="B62" s="224"/>
      <c r="C62" s="224"/>
      <c r="D62" s="224"/>
      <c r="E62" s="224"/>
      <c r="F62" s="224"/>
      <c r="G62" s="224"/>
      <c r="H62" s="224"/>
      <c r="I62" s="224"/>
      <c r="J62" s="224"/>
      <c r="K62" s="224"/>
      <c r="L62" s="224"/>
      <c r="M62" s="224"/>
      <c r="N62" s="224"/>
      <c r="O62" s="224"/>
      <c r="P62" s="224"/>
      <c r="Q62" s="224"/>
      <c r="R62" s="224"/>
    </row>
    <row r="63" ht="14.25" customHeight="1" spans="2:18">
      <c r="C63" s="125"/>
      <c r="D63" s="125"/>
      <c r="E63" s="125"/>
      <c r="F63" s="125"/>
      <c r="G63" s="125"/>
      <c r="H63" s="125"/>
      <c r="I63" s="125"/>
      <c r="J63" s="125"/>
      <c r="K63" s="125"/>
      <c r="L63" s="125"/>
      <c r="M63" s="125"/>
      <c r="N63" s="125"/>
      <c r="O63" s="125"/>
      <c r="P63" s="125"/>
      <c r="Q63" s="125"/>
      <c r="R63" s="125"/>
    </row>
    <row r="64" ht="15" customHeight="1" spans="2:18">
      <c r="B64" s="223"/>
      <c r="C64" s="223"/>
      <c r="D64" s="223"/>
      <c r="E64" s="223"/>
      <c r="F64" s="223"/>
      <c r="G64" s="223"/>
      <c r="H64" s="223"/>
      <c r="I64" s="223"/>
      <c r="J64" s="223"/>
      <c r="K64" s="223"/>
      <c r="L64" s="223"/>
      <c r="M64" s="223"/>
      <c r="N64" s="223"/>
      <c r="O64" s="223"/>
      <c r="P64" s="223"/>
      <c r="Q64" s="223"/>
      <c r="R64" s="223"/>
    </row>
    <row r="65" ht="57.75" customHeight="1" spans="2:18">
      <c r="B65" s="224"/>
      <c r="C65" s="224"/>
      <c r="D65" s="224"/>
      <c r="E65" s="224"/>
      <c r="F65" s="224"/>
      <c r="G65" s="224"/>
      <c r="H65" s="224"/>
      <c r="I65" s="224"/>
      <c r="J65" s="224"/>
      <c r="K65" s="224"/>
      <c r="L65" s="224"/>
      <c r="M65" s="224"/>
      <c r="N65" s="224"/>
      <c r="O65" s="224"/>
      <c r="P65" s="224"/>
      <c r="Q65" s="224"/>
      <c r="R65" s="224"/>
    </row>
    <row r="66" ht="14.25" customHeight="1" spans="2:18">
      <c r="C66" s="125"/>
      <c r="D66" s="125"/>
      <c r="E66" s="125"/>
      <c r="F66" s="125"/>
      <c r="G66" s="125"/>
      <c r="H66" s="125"/>
      <c r="I66" s="125"/>
      <c r="J66" s="125"/>
      <c r="K66" s="125"/>
      <c r="L66" s="125"/>
      <c r="M66" s="125"/>
      <c r="N66" s="125"/>
      <c r="O66" s="125"/>
      <c r="P66" s="125"/>
      <c r="Q66" s="125"/>
      <c r="R66" s="125"/>
    </row>
  </sheetData>
  <mergeCells count="18">
    <mergeCell ref="B7:R7"/>
    <mergeCell ref="B44:R44"/>
    <mergeCell ref="B46:R46"/>
    <mergeCell ref="B47:R47"/>
    <mergeCell ref="B49:R49"/>
    <mergeCell ref="B50:R50"/>
    <mergeCell ref="B52:R52"/>
    <mergeCell ref="B53:R53"/>
    <mergeCell ref="B55:R55"/>
    <mergeCell ref="B56:R56"/>
    <mergeCell ref="B58:R58"/>
    <mergeCell ref="B59:R59"/>
    <mergeCell ref="B61:R61"/>
    <mergeCell ref="B62:R62"/>
    <mergeCell ref="B64:R64"/>
    <mergeCell ref="B65:R65"/>
    <mergeCell ref="T7:T9"/>
    <mergeCell ref="A1:J4"/>
  </mergeCells>
  <pageMargins left="0.75" right="0.75" top="1" bottom="1" header="0.511811023622047" footer="0.511811023622047"/>
  <pageSetup paperSize="9" orientation="portrait" horizontalDpi="300" verticalDpi="300"/>
  <headerFooter/>
  <ignoredErrors>
    <ignoredError sqref="C24:Q24" formula="1"/>
  </ignoredErrors>
  <extLst>
    <ext xmlns:x14="http://schemas.microsoft.com/office/spreadsheetml/2009/9/main" uri="{05C60535-1F16-4fd2-B633-F4F36F0B64E0}">
      <x14:sparklineGroups xmlns:xm="http://schemas.microsoft.com/office/excel/2006/main">
        <x14:sparklineGroup type="line" displayEmptyCellsAs="gap">
          <x14:colorSeries theme="9" tint="-0.249977111117893"/>
          <x14:colorNegative theme="4"/>
          <x14:colorAxis rgb="FF000000"/>
          <x14:colorMarkers theme="4" tint="-0.249977111117893"/>
          <x14:colorFirst theme="4" tint="-0.249977111117893"/>
          <x14:colorLast theme="4" tint="-0.249977111117893"/>
          <x14:colorHigh theme="4" tint="-0.249977111117893"/>
          <x14:colorLow theme="4" tint="-0.249977111117893"/>
          <x14:sparklines>
            <x14:sparkline>
              <xm:f>'Ratio Analysis'!C12:Q12</xm:f>
              <xm:sqref>R12</xm:sqref>
            </x14:sparkline>
            <x14:sparkline>
              <xm:f>'Ratio Analysis'!C13:Q13</xm:f>
              <xm:sqref>R13</xm:sqref>
            </x14:sparkline>
            <x14:sparkline>
              <xm:f>'Ratio Analysis'!C14:Q14</xm:f>
              <xm:sqref>R14</xm:sqref>
            </x14:sparkline>
            <x14:sparkline>
              <xm:f>'Ratio Analysis'!C15:Q15</xm:f>
              <xm:sqref>R15</xm:sqref>
            </x14:sparkline>
            <x14:sparkline>
              <xm:f>'Ratio Analysis'!C16:Q16</xm:f>
              <xm:sqref>R16</xm:sqref>
            </x14:sparkline>
            <x14:sparkline>
              <xm:f>'Ratio Analysis'!C17:Q17</xm:f>
              <xm:sqref>R17</xm:sqref>
            </x14:sparkline>
            <x14:sparkline>
              <xm:f>'Ratio Analysis'!C18:Q18</xm:f>
              <xm:sqref>R18</xm:sqref>
            </x14:sparkline>
            <x14:sparkline>
              <xm:f>'Ratio Analysis'!C19:Q19</xm:f>
              <xm:sqref>R19</xm:sqref>
            </x14:sparkline>
            <x14:sparkline>
              <xm:f>'Ratio Analysis'!C20:Q20</xm:f>
              <xm:sqref>R20</xm:sqref>
            </x14:sparkline>
            <x14:sparkline>
              <xm:f>'Ratio Analysis'!C21:Q21</xm:f>
              <xm:sqref>R21</xm:sqref>
            </x14:sparkline>
            <x14:sparkline>
              <xm:f>'Ratio Analysis'!C22:Q22</xm:f>
              <xm:sqref>R22</xm:sqref>
            </x14:sparkline>
            <x14:sparkline>
              <xm:f>'Ratio Analysis'!C23:Q23</xm:f>
              <xm:sqref>R23</xm:sqref>
            </x14:sparkline>
            <x14:sparkline>
              <xm:f>'Ratio Analysis'!C24:Q24</xm:f>
              <xm:sqref>R24</xm:sqref>
            </x14:sparkline>
            <x14:sparkline>
              <xm:f>'Ratio Analysis'!C25:Q25</xm:f>
              <xm:sqref>R25</xm:sqref>
            </x14:sparkline>
            <x14:sparkline>
              <xm:f>'Ratio Analysis'!C26:Q26</xm:f>
              <xm:sqref>R26</xm:sqref>
            </x14:sparkline>
            <x14:sparkline>
              <xm:f>'Ratio Analysis'!C27:Q27</xm:f>
              <xm:sqref>R27</xm:sqref>
            </x14:sparkline>
            <x14:sparkline>
              <xm:f>'Ratio Analysis'!C28:Q28</xm:f>
              <xm:sqref>R28</xm:sqref>
            </x14:sparkline>
            <x14:sparkline>
              <xm:f>'Ratio Analysis'!C29:Q29</xm:f>
              <xm:sqref>R29</xm:sqref>
            </x14:sparkline>
            <x14:sparkline>
              <xm:f>'Ratio Analysis'!C30:Q30</xm:f>
              <xm:sqref>R30</xm:sqref>
            </x14:sparkline>
            <x14:sparkline>
              <xm:f>'Ratio Analysis'!C31:Q31</xm:f>
              <xm:sqref>R31</xm:sqref>
            </x14:sparkline>
            <x14:sparkline>
              <xm:f>'Ratio Analysis'!C32:Q32</xm:f>
              <xm:sqref>R32</xm:sqref>
            </x14:sparkline>
            <x14:sparkline>
              <xm:f>'Ratio Analysis'!C33:Q33</xm:f>
              <xm:sqref>R33</xm:sqref>
            </x14:sparkline>
            <x14:sparkline>
              <xm:f>'Ratio Analysis'!C34:Q34</xm:f>
              <xm:sqref>R34</xm:sqref>
            </x14:sparkline>
            <x14:sparkline>
              <xm:f>'Ratio Analysis'!C35:Q35</xm:f>
              <xm:sqref>R35</xm:sqref>
            </x14:sparkline>
            <x14:sparkline>
              <xm:f>'Ratio Analysis'!C36:Q36</xm:f>
              <xm:sqref>R36</xm:sqref>
            </x14:sparkline>
            <x14:sparkline>
              <xm:f>'Ratio Analysis'!C37:Q37</xm:f>
              <xm:sqref>R37</xm:sqref>
            </x14:sparkline>
            <x14:sparkline>
              <xm:f>'Ratio Analysis'!C38:Q38</xm:f>
              <xm:sqref>R38</xm:sqref>
            </x14:sparkline>
            <x14:sparkline>
              <xm:f>'Ratio Analysis'!C39:Q39</xm:f>
              <xm:sqref>R39</xm:sqref>
            </x14:sparkline>
            <x14:sparkline>
              <xm:f>'Ratio Analysis'!C40:Q40</xm:f>
              <xm:sqref>R40</xm:sqref>
            </x14:sparkline>
            <x14:sparkline>
              <xm:f>'Ratio Analysis'!C41:Q41</xm:f>
              <xm:sqref>R41</xm:sqref>
            </x14:sparkline>
            <x14:sparkline>
              <xm:f>'Ratio Analysis'!C42:Q42</xm:f>
              <xm:sqref>R42</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34"/>
  <sheetViews>
    <sheetView showGridLines="0" workbookViewId="0">
      <pane xSplit="2" ySplit="9" topLeftCell="C18" activePane="bottomRight" state="frozen"/>
      <selection/>
      <selection pane="topRight"/>
      <selection pane="bottomLeft"/>
      <selection pane="bottomRight" activeCell="B6" sqref="B6"/>
    </sheetView>
  </sheetViews>
  <sheetFormatPr defaultColWidth="8.89814814814815" defaultRowHeight="14.4"/>
  <cols>
    <col min="1" max="1" width="2.88888888888889" style="1" customWidth="1"/>
    <col min="2" max="2" width="27.3425925925926" style="1" customWidth="1"/>
    <col min="3" max="17" width="11.1111111111111"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6" ht="14.25" customHeight="1" spans="1:17">
      <c r="B6" s="8"/>
      <c r="C6" s="8"/>
      <c r="D6" s="8"/>
      <c r="E6" s="8"/>
      <c r="F6" s="181"/>
      <c r="G6" s="181"/>
      <c r="H6" s="8"/>
      <c r="I6" s="8"/>
      <c r="J6" s="8"/>
      <c r="K6" s="8"/>
      <c r="L6" s="8"/>
      <c r="M6" s="8"/>
      <c r="N6" s="8"/>
      <c r="O6" s="8"/>
      <c r="P6" s="182" t="s">
        <v>51</v>
      </c>
      <c r="Q6" s="182"/>
    </row>
    <row r="7" ht="15" customHeight="1" spans="1:17">
      <c r="B7" s="183" t="s">
        <v>15</v>
      </c>
      <c r="C7" s="183"/>
      <c r="D7" s="183"/>
      <c r="E7" s="183"/>
      <c r="F7" s="183"/>
      <c r="G7" s="183"/>
      <c r="H7" s="183"/>
      <c r="I7" s="183"/>
      <c r="J7" s="183"/>
      <c r="K7" s="183"/>
      <c r="L7" s="183"/>
      <c r="M7" s="183"/>
      <c r="N7" s="183"/>
      <c r="O7" s="183"/>
      <c r="P7" s="183"/>
      <c r="Q7" s="183"/>
    </row>
    <row r="8" ht="14.25" customHeight="1" spans="1:17">
      <c r="B8" s="184" t="s">
        <v>39</v>
      </c>
      <c r="C8" s="5">
        <v>2022</v>
      </c>
      <c r="D8" s="5">
        <f t="shared" ref="D8:Q8" si="0">C8+1</f>
        <v>2023</v>
      </c>
      <c r="E8" s="5">
        <f t="shared" si="0"/>
        <v>2024</v>
      </c>
      <c r="F8" s="5">
        <f t="shared" si="0"/>
        <v>2025</v>
      </c>
      <c r="G8" s="5">
        <f t="shared" si="0"/>
        <v>2026</v>
      </c>
      <c r="H8" s="5">
        <f t="shared" si="0"/>
        <v>2027</v>
      </c>
      <c r="I8" s="5">
        <f t="shared" si="0"/>
        <v>2028</v>
      </c>
      <c r="J8" s="5">
        <f t="shared" si="0"/>
        <v>2029</v>
      </c>
      <c r="K8" s="5">
        <f t="shared" si="0"/>
        <v>2030</v>
      </c>
      <c r="L8" s="5">
        <f t="shared" si="0"/>
        <v>2031</v>
      </c>
      <c r="M8" s="5">
        <f t="shared" si="0"/>
        <v>2032</v>
      </c>
      <c r="N8" s="5">
        <f t="shared" si="0"/>
        <v>2033</v>
      </c>
      <c r="O8" s="5">
        <f t="shared" si="0"/>
        <v>2034</v>
      </c>
      <c r="P8" s="5">
        <f t="shared" si="0"/>
        <v>2035</v>
      </c>
      <c r="Q8" s="5">
        <f t="shared" si="0"/>
        <v>2036</v>
      </c>
    </row>
    <row r="9" ht="14.25" customHeight="1" spans="1:17">
      <c r="B9" s="184"/>
      <c r="C9" s="6" t="s">
        <v>85</v>
      </c>
      <c r="D9" s="6" t="s">
        <v>85</v>
      </c>
      <c r="E9" s="6" t="s">
        <v>85</v>
      </c>
      <c r="F9" s="6" t="s">
        <v>85</v>
      </c>
      <c r="G9" s="6" t="s">
        <v>85</v>
      </c>
      <c r="H9" s="7" t="s">
        <v>254</v>
      </c>
      <c r="I9" s="7" t="s">
        <v>255</v>
      </c>
      <c r="J9" s="7" t="s">
        <v>255</v>
      </c>
      <c r="K9" s="7" t="s">
        <v>255</v>
      </c>
      <c r="L9" s="7" t="s">
        <v>255</v>
      </c>
      <c r="M9" s="7" t="s">
        <v>255</v>
      </c>
      <c r="N9" s="7" t="s">
        <v>255</v>
      </c>
      <c r="O9" s="7" t="s">
        <v>255</v>
      </c>
      <c r="P9" s="7" t="s">
        <v>255</v>
      </c>
      <c r="Q9" s="7" t="s">
        <v>255</v>
      </c>
    </row>
    <row r="10" ht="14.25" customHeight="1" spans="1:17">
      <c r="B10" s="185"/>
      <c r="C10" s="186"/>
      <c r="D10" s="186"/>
      <c r="E10" s="186"/>
      <c r="F10" s="186"/>
      <c r="G10" s="186"/>
      <c r="H10" s="187"/>
      <c r="I10" s="187"/>
      <c r="J10" s="187"/>
      <c r="K10" s="187"/>
      <c r="L10" s="187"/>
      <c r="M10" s="187"/>
      <c r="N10" s="187"/>
      <c r="O10" s="187"/>
      <c r="P10" s="187"/>
      <c r="Q10" s="187"/>
    </row>
    <row r="11" ht="14.25" customHeight="1" spans="1:17">
      <c r="B11" s="188" t="s">
        <v>415</v>
      </c>
      <c r="C11" s="189">
        <f>'Income Statement'!C13</f>
        <v>1170812</v>
      </c>
      <c r="D11" s="189">
        <f>'Income Statement'!D13</f>
        <v>1400814</v>
      </c>
      <c r="E11" s="189">
        <f>'Income Statement'!E13</f>
        <v>1514178</v>
      </c>
      <c r="F11" s="189">
        <f>'Income Statement'!F13</f>
        <v>1745589</v>
      </c>
      <c r="G11" s="189">
        <f>'Income Statement'!G13</f>
        <v>2137901</v>
      </c>
      <c r="H11" s="189">
        <f>'Income Statement'!H13</f>
        <v>2541290.36621915</v>
      </c>
      <c r="I11" s="189">
        <f>'Income Statement'!I13</f>
        <v>2861159.7645907</v>
      </c>
      <c r="J11" s="189">
        <f>'Income Statement'!J13</f>
        <v>3191651.62478868</v>
      </c>
      <c r="K11" s="189">
        <f>'Income Statement'!K13</f>
        <v>3527290.99131468</v>
      </c>
      <c r="L11" s="189">
        <f>'Income Statement'!L13</f>
        <v>3861786.1006149</v>
      </c>
      <c r="M11" s="189">
        <f>'Income Statement'!M13</f>
        <v>4188196.07567665</v>
      </c>
      <c r="N11" s="189">
        <f>'Income Statement'!N13</f>
        <v>4499152.9154767</v>
      </c>
      <c r="O11" s="189">
        <f>'Income Statement'!O13</f>
        <v>4787129.73211222</v>
      </c>
      <c r="P11" s="189">
        <f>'Income Statement'!P13</f>
        <v>5044742.69034423</v>
      </c>
      <c r="Q11" s="189">
        <f>'Income Statement'!Q13</f>
        <v>5265070.19013725</v>
      </c>
    </row>
    <row r="12" ht="14.25" customHeight="1" spans="1:17">
      <c r="B12" s="190" t="s">
        <v>416</v>
      </c>
      <c r="C12" s="191"/>
      <c r="D12" s="191">
        <f t="shared" ref="D12:Q12" si="1">IFERROR((D11-C11)/C11,"")</f>
        <v>0.196446568706163</v>
      </c>
      <c r="E12" s="191">
        <f t="shared" si="1"/>
        <v>0.0809272323092145</v>
      </c>
      <c r="F12" s="191">
        <f t="shared" si="1"/>
        <v>0.152829455982058</v>
      </c>
      <c r="G12" s="191">
        <f t="shared" si="1"/>
        <v>0.224744770962695</v>
      </c>
      <c r="H12" s="191">
        <f t="shared" si="1"/>
        <v>0.188684773625696</v>
      </c>
      <c r="I12" s="191">
        <f t="shared" si="1"/>
        <v>0.125868890317889</v>
      </c>
      <c r="J12" s="191">
        <f t="shared" si="1"/>
        <v>0.115509753872574</v>
      </c>
      <c r="K12" s="191">
        <f t="shared" si="1"/>
        <v>0.105161654837008</v>
      </c>
      <c r="L12" s="191">
        <f t="shared" si="1"/>
        <v>0.0948305966601157</v>
      </c>
      <c r="M12" s="191">
        <f t="shared" si="1"/>
        <v>0.0845230591641954</v>
      </c>
      <c r="N12" s="191">
        <f t="shared" si="1"/>
        <v>0.0742460081097837</v>
      </c>
      <c r="O12" s="191">
        <f t="shared" si="1"/>
        <v>0.0640068968638303</v>
      </c>
      <c r="P12" s="191">
        <f t="shared" si="1"/>
        <v>0.0538136571699615</v>
      </c>
      <c r="Q12" s="191">
        <f t="shared" si="1"/>
        <v>0.0436746754625816</v>
      </c>
    </row>
    <row r="13" ht="14.25" customHeight="1" spans="1:17">
      <c r="B13" s="192" t="s">
        <v>417</v>
      </c>
      <c r="C13" s="193">
        <f>'Income Statement'!C16+'Income Statement'!C17+'Income Statement'!C18</f>
        <v>428452</v>
      </c>
      <c r="D13" s="193">
        <f>'Income Statement'!D16+'Income Statement'!D17+'Income Statement'!D18</f>
        <v>479157</v>
      </c>
      <c r="E13" s="193">
        <f>'Income Statement'!E16+'Income Statement'!E17+'Income Statement'!E18</f>
        <v>495731</v>
      </c>
      <c r="F13" s="193">
        <f>'Income Statement'!F16+'Income Statement'!F17+'Income Statement'!F18</f>
        <v>545046</v>
      </c>
      <c r="G13" s="193">
        <f>'Income Statement'!G16+'Income Statement'!G17+'Income Statement'!G18</f>
        <v>606645</v>
      </c>
      <c r="H13" s="193">
        <f>'Income Statement'!H16+'Income Statement'!H17+'Income Statement'!H18</f>
        <v>829168.374253144</v>
      </c>
      <c r="I13" s="193">
        <f>'Income Statement'!I16+'Income Statement'!I17+'Income Statement'!I18</f>
        <v>933534.877407076</v>
      </c>
      <c r="J13" s="193">
        <f>'Income Statement'!J16+'Income Statement'!J17+'Income Statement'!J18</f>
        <v>1041367.26132783</v>
      </c>
      <c r="K13" s="193">
        <f>'Income Statement'!K16+'Income Statement'!K17+'Income Statement'!K18</f>
        <v>1150879.16582215</v>
      </c>
      <c r="L13" s="193">
        <f>'Income Statement'!L16+'Income Statement'!L17+'Income Statement'!L18</f>
        <v>1260017.72380076</v>
      </c>
      <c r="M13" s="193">
        <f>'Income Statement'!M16+'Income Statement'!M17+'Income Statement'!M18</f>
        <v>1366518.27641751</v>
      </c>
      <c r="N13" s="193">
        <f>'Income Statement'!N16+'Income Statement'!N17+'Income Statement'!N18</f>
        <v>1467976.80345057</v>
      </c>
      <c r="O13" s="193">
        <f>'Income Statement'!O16+'Income Statement'!O17+'Income Statement'!O18</f>
        <v>1561937.44330752</v>
      </c>
      <c r="P13" s="193">
        <f>'Income Statement'!P16+'Income Statement'!P17+'Income Statement'!P18</f>
        <v>1645991.0094026</v>
      </c>
      <c r="Q13" s="193">
        <f>'Income Statement'!Q16+'Income Statement'!Q17+'Income Statement'!Q18</f>
        <v>1717879.13255259</v>
      </c>
    </row>
    <row r="14" ht="14.25" customHeight="1" spans="1:17">
      <c r="B14" s="190" t="s">
        <v>416</v>
      </c>
      <c r="C14" s="191"/>
      <c r="D14" s="191">
        <f t="shared" ref="D14:Q14" si="2">IFERROR((D13-C13)/C13,"")</f>
        <v>0.118344645374511</v>
      </c>
      <c r="E14" s="191">
        <f t="shared" si="2"/>
        <v>0.0345899152052459</v>
      </c>
      <c r="F14" s="191">
        <f t="shared" si="2"/>
        <v>0.0994793547306906</v>
      </c>
      <c r="G14" s="191">
        <f t="shared" si="2"/>
        <v>0.113016149095673</v>
      </c>
      <c r="H14" s="191">
        <f t="shared" si="2"/>
        <v>0.36680987109948</v>
      </c>
      <c r="I14" s="191">
        <f t="shared" si="2"/>
        <v>0.125868890317889</v>
      </c>
      <c r="J14" s="191">
        <f t="shared" si="2"/>
        <v>0.115509753872574</v>
      </c>
      <c r="K14" s="191">
        <f t="shared" si="2"/>
        <v>0.105161654837008</v>
      </c>
      <c r="L14" s="191">
        <f t="shared" si="2"/>
        <v>0.0948305966601156</v>
      </c>
      <c r="M14" s="191">
        <f t="shared" si="2"/>
        <v>0.0845230591641954</v>
      </c>
      <c r="N14" s="191">
        <f t="shared" si="2"/>
        <v>0.0742460081097837</v>
      </c>
      <c r="O14" s="191">
        <f t="shared" si="2"/>
        <v>0.0640068968638303</v>
      </c>
      <c r="P14" s="191">
        <f t="shared" si="2"/>
        <v>0.0538136571699613</v>
      </c>
      <c r="Q14" s="191">
        <f t="shared" si="2"/>
        <v>0.0436746754625818</v>
      </c>
    </row>
    <row r="15" ht="14.25" customHeight="1" spans="1:17">
      <c r="B15" s="188" t="s">
        <v>418</v>
      </c>
      <c r="C15" s="189">
        <f t="shared" ref="C15:Q15" si="3">C11-C13</f>
        <v>742360</v>
      </c>
      <c r="D15" s="189">
        <f t="shared" si="3"/>
        <v>921657</v>
      </c>
      <c r="E15" s="189">
        <f t="shared" si="3"/>
        <v>1018447</v>
      </c>
      <c r="F15" s="189">
        <f t="shared" si="3"/>
        <v>1200543</v>
      </c>
      <c r="G15" s="189">
        <f t="shared" si="3"/>
        <v>1531256</v>
      </c>
      <c r="H15" s="189">
        <f t="shared" si="3"/>
        <v>1712121.991966</v>
      </c>
      <c r="I15" s="189">
        <f t="shared" si="3"/>
        <v>1927624.88718362</v>
      </c>
      <c r="J15" s="189">
        <f t="shared" si="3"/>
        <v>2150284.36346085</v>
      </c>
      <c r="K15" s="189">
        <f t="shared" si="3"/>
        <v>2376411.82549253</v>
      </c>
      <c r="L15" s="189">
        <f t="shared" si="3"/>
        <v>2601768.37681415</v>
      </c>
      <c r="M15" s="189">
        <f t="shared" si="3"/>
        <v>2821677.79925914</v>
      </c>
      <c r="N15" s="189">
        <f t="shared" si="3"/>
        <v>3031176.11202613</v>
      </c>
      <c r="O15" s="189">
        <f t="shared" si="3"/>
        <v>3225192.28880469</v>
      </c>
      <c r="P15" s="189">
        <f t="shared" si="3"/>
        <v>3398751.68094163</v>
      </c>
      <c r="Q15" s="189">
        <f t="shared" si="3"/>
        <v>3547191.05758466</v>
      </c>
    </row>
    <row r="16" ht="14.25" customHeight="1" spans="1:17">
      <c r="B16" s="190" t="s">
        <v>416</v>
      </c>
      <c r="C16" s="191"/>
      <c r="D16" s="191">
        <f t="shared" ref="D16:Q16" si="4">IFERROR((D15-C15)/C15,"")</f>
        <v>0.24152298076405</v>
      </c>
      <c r="E16" s="191">
        <f t="shared" si="4"/>
        <v>0.105017376312446</v>
      </c>
      <c r="F16" s="191">
        <f t="shared" si="4"/>
        <v>0.178797718487069</v>
      </c>
      <c r="G16" s="191">
        <f t="shared" si="4"/>
        <v>0.275469516710355</v>
      </c>
      <c r="H16" s="191">
        <f t="shared" si="4"/>
        <v>0.118116103359598</v>
      </c>
      <c r="I16" s="191">
        <f t="shared" si="4"/>
        <v>0.125868890317889</v>
      </c>
      <c r="J16" s="191">
        <f t="shared" si="4"/>
        <v>0.115509753872574</v>
      </c>
      <c r="K16" s="191">
        <f t="shared" si="4"/>
        <v>0.105161654837008</v>
      </c>
      <c r="L16" s="191">
        <f t="shared" si="4"/>
        <v>0.0948305966601157</v>
      </c>
      <c r="M16" s="191">
        <f t="shared" si="4"/>
        <v>0.0845230591641954</v>
      </c>
      <c r="N16" s="191">
        <f t="shared" si="4"/>
        <v>0.0742460081097837</v>
      </c>
      <c r="O16" s="191">
        <f t="shared" si="4"/>
        <v>0.0640068968638303</v>
      </c>
      <c r="P16" s="191">
        <f t="shared" si="4"/>
        <v>0.0538136571699615</v>
      </c>
      <c r="Q16" s="191">
        <f t="shared" si="4"/>
        <v>0.0436746754625816</v>
      </c>
    </row>
    <row r="17" ht="14.25" customHeight="1" spans="2:17">
      <c r="B17" s="190" t="s">
        <v>419</v>
      </c>
      <c r="C17" s="191">
        <f t="shared" ref="C17:Q17" si="5">IFERROR(C15/C11,"")</f>
        <v>0.634055681014544</v>
      </c>
      <c r="D17" s="191">
        <f t="shared" si="5"/>
        <v>0.657943881200502</v>
      </c>
      <c r="E17" s="191">
        <f t="shared" si="5"/>
        <v>0.672607183567586</v>
      </c>
      <c r="F17" s="191">
        <f t="shared" si="5"/>
        <v>0.687758114882713</v>
      </c>
      <c r="G17" s="191">
        <f t="shared" si="5"/>
        <v>0.716242707216097</v>
      </c>
      <c r="H17" s="191">
        <f t="shared" si="5"/>
        <v>0.673721513576288</v>
      </c>
      <c r="I17" s="191">
        <f t="shared" si="5"/>
        <v>0.673721513576288</v>
      </c>
      <c r="J17" s="191">
        <f t="shared" si="5"/>
        <v>0.673721513576288</v>
      </c>
      <c r="K17" s="191">
        <f t="shared" si="5"/>
        <v>0.673721513576288</v>
      </c>
      <c r="L17" s="191">
        <f t="shared" si="5"/>
        <v>0.673721513576288</v>
      </c>
      <c r="M17" s="191">
        <f t="shared" si="5"/>
        <v>0.673721513576288</v>
      </c>
      <c r="N17" s="191">
        <f t="shared" si="5"/>
        <v>0.673721513576288</v>
      </c>
      <c r="O17" s="191">
        <f t="shared" si="5"/>
        <v>0.673721513576288</v>
      </c>
      <c r="P17" s="191">
        <f t="shared" si="5"/>
        <v>0.673721513576288</v>
      </c>
      <c r="Q17" s="191">
        <f t="shared" si="5"/>
        <v>0.673721513576288</v>
      </c>
    </row>
    <row r="18" ht="14.25" customHeight="1" spans="2:17">
      <c r="B18" s="192" t="s">
        <v>93</v>
      </c>
      <c r="C18" s="193">
        <f>'Income Statement'!C19</f>
        <v>44333</v>
      </c>
      <c r="D18" s="193">
        <f>'Income Statement'!D19</f>
        <v>48308</v>
      </c>
      <c r="E18" s="193">
        <f>'Income Statement'!E19</f>
        <v>53231</v>
      </c>
      <c r="F18" s="193">
        <f>'Income Statement'!F19</f>
        <v>63089</v>
      </c>
      <c r="G18" s="193">
        <f>'Income Statement'!G19</f>
        <v>75813</v>
      </c>
      <c r="H18" s="193">
        <f>'Income Statement'!H19</f>
        <v>91033.7264344609</v>
      </c>
      <c r="I18" s="193">
        <f>'Income Statement'!I19</f>
        <v>102492.040562269</v>
      </c>
      <c r="J18" s="193">
        <f>'Income Statement'!J19</f>
        <v>114330.870941514</v>
      </c>
      <c r="K18" s="193">
        <f>'Income Statement'!K19</f>
        <v>126354.09452868</v>
      </c>
      <c r="L18" s="193">
        <f>'Income Statement'!L19</f>
        <v>138336.328703284</v>
      </c>
      <c r="M18" s="193">
        <f>'Income Statement'!M19</f>
        <v>150028.938398829</v>
      </c>
      <c r="N18" s="193">
        <f>'Income Statement'!N19</f>
        <v>161167.988175891</v>
      </c>
      <c r="O18" s="193">
        <f>'Income Statement'!O19</f>
        <v>171483.850972816</v>
      </c>
      <c r="P18" s="193">
        <f>'Income Statement'!P19</f>
        <v>180712.024139252</v>
      </c>
      <c r="Q18" s="193">
        <f>'Income Statement'!Q19</f>
        <v>188604.56314572</v>
      </c>
    </row>
    <row r="19" ht="14.25" customHeight="1" spans="2:17">
      <c r="B19" s="190" t="s">
        <v>416</v>
      </c>
      <c r="C19" s="191"/>
      <c r="D19" s="191">
        <f t="shared" ref="D19:Q19" si="6">IFERROR((D18-C18)/C18,"")</f>
        <v>0.0896623282881826</v>
      </c>
      <c r="E19" s="191">
        <f t="shared" si="6"/>
        <v>0.101908586569512</v>
      </c>
      <c r="F19" s="191">
        <f t="shared" si="6"/>
        <v>0.18519283875937</v>
      </c>
      <c r="G19" s="191">
        <f t="shared" si="6"/>
        <v>0.201683336239281</v>
      </c>
      <c r="H19" s="191">
        <f t="shared" si="6"/>
        <v>0.200766708011303</v>
      </c>
      <c r="I19" s="191">
        <f t="shared" si="6"/>
        <v>0.125868890317889</v>
      </c>
      <c r="J19" s="191">
        <f t="shared" si="6"/>
        <v>0.115509753872574</v>
      </c>
      <c r="K19" s="191">
        <f t="shared" si="6"/>
        <v>0.105161654837008</v>
      </c>
      <c r="L19" s="191">
        <f t="shared" si="6"/>
        <v>0.0948305966601156</v>
      </c>
      <c r="M19" s="191">
        <f t="shared" si="6"/>
        <v>0.0845230591641954</v>
      </c>
      <c r="N19" s="191">
        <f t="shared" si="6"/>
        <v>0.0742460081097837</v>
      </c>
      <c r="O19" s="191">
        <f t="shared" si="6"/>
        <v>0.0640068968638303</v>
      </c>
      <c r="P19" s="191">
        <f t="shared" si="6"/>
        <v>0.0538136571699614</v>
      </c>
      <c r="Q19" s="191">
        <f t="shared" si="6"/>
        <v>0.0436746754625817</v>
      </c>
    </row>
    <row r="20" ht="14.25" customHeight="1" spans="2:17">
      <c r="B20" s="192" t="s">
        <v>420</v>
      </c>
      <c r="C20" s="193">
        <f>'Income Statement'!C20+'Income Statement'!C21</f>
        <v>117345</v>
      </c>
      <c r="D20" s="193">
        <f>'Income Statement'!D20+'Income Statement'!D21</f>
        <v>151248</v>
      </c>
      <c r="E20" s="193">
        <f>'Income Statement'!E20+'Income Statement'!E21</f>
        <v>167944</v>
      </c>
      <c r="F20" s="193">
        <f>'Income Statement'!F20+'Income Statement'!F21</f>
        <v>190125</v>
      </c>
      <c r="G20" s="193">
        <f>'Income Statement'!G20+'Income Statement'!G21</f>
        <v>230525</v>
      </c>
      <c r="H20" s="193">
        <f>'Income Statement'!H20+'Income Statement'!H21</f>
        <v>272353.261123981</v>
      </c>
      <c r="I20" s="193">
        <f>'Income Statement'!I20+'Income Statement'!I21</f>
        <v>306634.063876115</v>
      </c>
      <c r="J20" s="193">
        <f>'Income Statement'!J20+'Income Statement'!J21</f>
        <v>342053.289123393</v>
      </c>
      <c r="K20" s="193">
        <f>'Income Statement'!K20+'Income Statement'!K21</f>
        <v>378024.17905005</v>
      </c>
      <c r="L20" s="193">
        <f>'Income Statement'!L20+'Income Statement'!L21</f>
        <v>413872.437501317</v>
      </c>
      <c r="M20" s="193">
        <f>'Income Statement'!M20+'Income Statement'!M21</f>
        <v>448854.20202267</v>
      </c>
      <c r="N20" s="193">
        <f>'Income Statement'!N20+'Income Statement'!N21</f>
        <v>482179.834746156</v>
      </c>
      <c r="O20" s="193">
        <f>'Income Statement'!O20+'Income Statement'!O21</f>
        <v>513042.669698572</v>
      </c>
      <c r="P20" s="193">
        <f>'Income Statement'!P20+'Income Statement'!P21</f>
        <v>540651.372039293</v>
      </c>
      <c r="Q20" s="193">
        <f>'Income Statement'!Q20+'Income Statement'!Q21</f>
        <v>564264.145251508</v>
      </c>
    </row>
    <row r="21" ht="14.25" customHeight="1" spans="2:17">
      <c r="B21" s="188" t="s">
        <v>97</v>
      </c>
      <c r="C21" s="189">
        <f t="shared" ref="C21:Q21" si="7">C15-C18-C20</f>
        <v>580682</v>
      </c>
      <c r="D21" s="189">
        <f t="shared" si="7"/>
        <v>722101</v>
      </c>
      <c r="E21" s="189">
        <f t="shared" si="7"/>
        <v>797272</v>
      </c>
      <c r="F21" s="189">
        <f t="shared" si="7"/>
        <v>947329</v>
      </c>
      <c r="G21" s="189">
        <f t="shared" si="7"/>
        <v>1224918</v>
      </c>
      <c r="H21" s="189">
        <f t="shared" si="7"/>
        <v>1348735.00440756</v>
      </c>
      <c r="I21" s="189">
        <f t="shared" si="7"/>
        <v>1518498.78274524</v>
      </c>
      <c r="J21" s="189">
        <f t="shared" si="7"/>
        <v>1693900.20339594</v>
      </c>
      <c r="K21" s="189">
        <f t="shared" si="7"/>
        <v>1872033.5519138</v>
      </c>
      <c r="L21" s="189">
        <f t="shared" si="7"/>
        <v>2049559.61060954</v>
      </c>
      <c r="M21" s="189">
        <f t="shared" si="7"/>
        <v>2222794.65883764</v>
      </c>
      <c r="N21" s="189">
        <f t="shared" si="7"/>
        <v>2387828.28910408</v>
      </c>
      <c r="O21" s="189">
        <f t="shared" si="7"/>
        <v>2540665.76813331</v>
      </c>
      <c r="P21" s="189">
        <f t="shared" si="7"/>
        <v>2677388.28476309</v>
      </c>
      <c r="Q21" s="189">
        <f t="shared" si="7"/>
        <v>2794322.34918743</v>
      </c>
    </row>
    <row r="22" ht="14.25" customHeight="1" spans="2:17">
      <c r="B22" s="190" t="s">
        <v>416</v>
      </c>
      <c r="C22" s="191"/>
      <c r="D22" s="191">
        <f t="shared" ref="D22:Q22" si="8">IFERROR((D21-C21)/C21,"")</f>
        <v>0.243539493216597</v>
      </c>
      <c r="E22" s="191">
        <f t="shared" si="8"/>
        <v>0.104100395927993</v>
      </c>
      <c r="F22" s="191">
        <f t="shared" si="8"/>
        <v>0.188213056522743</v>
      </c>
      <c r="G22" s="191">
        <f t="shared" si="8"/>
        <v>0.293022804115571</v>
      </c>
      <c r="H22" s="191">
        <f t="shared" si="8"/>
        <v>0.10108187193556</v>
      </c>
      <c r="I22" s="191">
        <f t="shared" si="8"/>
        <v>0.125868890317889</v>
      </c>
      <c r="J22" s="191">
        <f t="shared" si="8"/>
        <v>0.115509753872574</v>
      </c>
      <c r="K22" s="191">
        <f t="shared" si="8"/>
        <v>0.105161654837008</v>
      </c>
      <c r="L22" s="191">
        <f t="shared" si="8"/>
        <v>0.0948305966601159</v>
      </c>
      <c r="M22" s="191">
        <f t="shared" si="8"/>
        <v>0.0845230591641953</v>
      </c>
      <c r="N22" s="191">
        <f t="shared" si="8"/>
        <v>0.0742460081097837</v>
      </c>
      <c r="O22" s="191">
        <f t="shared" si="8"/>
        <v>0.0640068968638301</v>
      </c>
      <c r="P22" s="191">
        <f t="shared" si="8"/>
        <v>0.0538136571699618</v>
      </c>
      <c r="Q22" s="191">
        <f t="shared" si="8"/>
        <v>0.0436746754625815</v>
      </c>
    </row>
    <row r="23" ht="14.25" customHeight="1" spans="2:17">
      <c r="B23" s="192" t="s">
        <v>421</v>
      </c>
      <c r="C23" s="193">
        <f>'Income Statement'!C27</f>
        <v>330907</v>
      </c>
      <c r="D23" s="193">
        <f>'Income Statement'!D27</f>
        <v>364318</v>
      </c>
      <c r="E23" s="193">
        <f>'Income Statement'!E27</f>
        <v>395376</v>
      </c>
      <c r="F23" s="193">
        <f>'Income Statement'!F27</f>
        <v>455703</v>
      </c>
      <c r="G23" s="193">
        <f>'Income Statement'!G27</f>
        <v>527108</v>
      </c>
      <c r="H23" s="193">
        <f>'Income Statement'!H27</f>
        <v>537650.16</v>
      </c>
      <c r="I23" s="193">
        <f>'Income Statement'!I27</f>
        <v>548403.1632</v>
      </c>
      <c r="J23" s="193">
        <f>'Income Statement'!J27</f>
        <v>559371.226464</v>
      </c>
      <c r="K23" s="193">
        <f>'Income Statement'!K27</f>
        <v>570558.65099328</v>
      </c>
      <c r="L23" s="193">
        <f>'Income Statement'!L27</f>
        <v>581969.824013146</v>
      </c>
      <c r="M23" s="193">
        <f>'Income Statement'!M27</f>
        <v>593609.220493409</v>
      </c>
      <c r="N23" s="193">
        <f>'Income Statement'!N27</f>
        <v>605481.404903277</v>
      </c>
      <c r="O23" s="193">
        <f>'Income Statement'!O27</f>
        <v>617591.033001342</v>
      </c>
      <c r="P23" s="193">
        <f>'Income Statement'!P27</f>
        <v>629942.853661369</v>
      </c>
      <c r="Q23" s="193">
        <f>'Income Statement'!Q27</f>
        <v>642541.710734597</v>
      </c>
    </row>
    <row r="24" ht="14.25" customHeight="1" spans="2:17">
      <c r="B24" s="188" t="s">
        <v>99</v>
      </c>
      <c r="C24" s="189">
        <f t="shared" ref="C24:Q24" si="9">C21-C23</f>
        <v>249775</v>
      </c>
      <c r="D24" s="189">
        <f t="shared" si="9"/>
        <v>357783</v>
      </c>
      <c r="E24" s="189">
        <f t="shared" si="9"/>
        <v>401896</v>
      </c>
      <c r="F24" s="189">
        <f t="shared" si="9"/>
        <v>491626</v>
      </c>
      <c r="G24" s="189">
        <f t="shared" si="9"/>
        <v>697810</v>
      </c>
      <c r="H24" s="189">
        <f t="shared" si="9"/>
        <v>811084.844407562</v>
      </c>
      <c r="I24" s="189">
        <f t="shared" si="9"/>
        <v>970095.619545235</v>
      </c>
      <c r="J24" s="189">
        <f t="shared" si="9"/>
        <v>1134528.97693194</v>
      </c>
      <c r="K24" s="189">
        <f t="shared" si="9"/>
        <v>1301474.90092052</v>
      </c>
      <c r="L24" s="189">
        <f t="shared" si="9"/>
        <v>1467589.7865964</v>
      </c>
      <c r="M24" s="189">
        <f t="shared" si="9"/>
        <v>1629185.43834423</v>
      </c>
      <c r="N24" s="189">
        <f t="shared" si="9"/>
        <v>1782346.88420081</v>
      </c>
      <c r="O24" s="189">
        <f t="shared" si="9"/>
        <v>1923074.73513196</v>
      </c>
      <c r="P24" s="189">
        <f t="shared" si="9"/>
        <v>2047445.43110172</v>
      </c>
      <c r="Q24" s="189">
        <f t="shared" si="9"/>
        <v>2151780.63845284</v>
      </c>
    </row>
    <row r="25" ht="14.25" customHeight="1" spans="2:17">
      <c r="B25" s="190" t="s">
        <v>416</v>
      </c>
      <c r="C25" s="191"/>
      <c r="D25" s="191">
        <f t="shared" ref="D25:Q25" si="10">IFERROR((D24-C24)/C24,"")</f>
        <v>0.432421179061155</v>
      </c>
      <c r="E25" s="191">
        <f t="shared" si="10"/>
        <v>0.123295405315512</v>
      </c>
      <c r="F25" s="191">
        <f t="shared" si="10"/>
        <v>0.223266715767263</v>
      </c>
      <c r="G25" s="191">
        <f t="shared" si="10"/>
        <v>0.419391976827914</v>
      </c>
      <c r="H25" s="191">
        <f t="shared" si="10"/>
        <v>0.16232906436933</v>
      </c>
      <c r="I25" s="191">
        <f t="shared" si="10"/>
        <v>0.196047030386591</v>
      </c>
      <c r="J25" s="191">
        <f t="shared" si="10"/>
        <v>0.16950221614627</v>
      </c>
      <c r="K25" s="191">
        <f t="shared" si="10"/>
        <v>0.147149986807782</v>
      </c>
      <c r="L25" s="191">
        <f t="shared" si="10"/>
        <v>0.127635873391323</v>
      </c>
      <c r="M25" s="191">
        <f t="shared" si="10"/>
        <v>0.11010955051861</v>
      </c>
      <c r="N25" s="191">
        <f t="shared" si="10"/>
        <v>0.094011057459632</v>
      </c>
      <c r="O25" s="191">
        <f t="shared" si="10"/>
        <v>0.0789564883124628</v>
      </c>
      <c r="P25" s="191">
        <f t="shared" si="10"/>
        <v>0.0646728354845877</v>
      </c>
      <c r="Q25" s="191">
        <f t="shared" si="10"/>
        <v>0.0509587243529005</v>
      </c>
    </row>
    <row r="26" ht="14.25" customHeight="1" spans="2:17">
      <c r="B26" s="192" t="s">
        <v>422</v>
      </c>
      <c r="C26" s="193">
        <f>'Income Statement'!C31</f>
        <v>166162</v>
      </c>
      <c r="D26" s="193">
        <f>'Income Statement'!D31</f>
        <v>192999</v>
      </c>
      <c r="E26" s="193">
        <f>'Income Statement'!E31</f>
        <v>226477</v>
      </c>
      <c r="F26" s="193">
        <f>'Income Statement'!F31</f>
        <v>217539</v>
      </c>
      <c r="G26" s="193">
        <f>'Income Statement'!G31</f>
        <v>215553</v>
      </c>
      <c r="H26" s="193">
        <f>'Income Statement'!H31</f>
        <v>332763.810795288</v>
      </c>
      <c r="I26" s="193">
        <f>'Income Statement'!I31</f>
        <v>374648.422398043</v>
      </c>
      <c r="J26" s="193">
        <f>'Income Statement'!J31</f>
        <v>417923.969457989</v>
      </c>
      <c r="K26" s="193">
        <f>'Income Statement'!K31</f>
        <v>461873.545682242</v>
      </c>
      <c r="L26" s="193">
        <f>'Income Statement'!L31</f>
        <v>505673.289600813</v>
      </c>
      <c r="M26" s="193">
        <f>'Income Statement'!M31</f>
        <v>548414.342975495</v>
      </c>
      <c r="N26" s="193">
        <f>'Income Statement'!N31</f>
        <v>589131.918731576</v>
      </c>
      <c r="O26" s="193">
        <f>'Income Statement'!O31</f>
        <v>626840.424693018</v>
      </c>
      <c r="P26" s="193">
        <f>'Income Statement'!P31</f>
        <v>660573.000407721</v>
      </c>
      <c r="Q26" s="193">
        <f>'Income Statement'!Q31</f>
        <v>689423.311819872</v>
      </c>
    </row>
    <row r="27" ht="14.25" customHeight="1" spans="2:17">
      <c r="B27" s="192" t="s">
        <v>423</v>
      </c>
      <c r="C27" s="193">
        <f>-('Income Statement'!C32+'Income Statement'!C36)</f>
        <v>41218</v>
      </c>
      <c r="D27" s="193">
        <f>-('Income Statement'!D32+'Income Statement'!D36)</f>
        <v>823</v>
      </c>
      <c r="E27" s="193">
        <f>-('Income Statement'!E32+'Income Statement'!E36)</f>
        <v>-48629</v>
      </c>
      <c r="F27" s="193">
        <f>-('Income Statement'!F32+'Income Statement'!F36)</f>
        <v>109898</v>
      </c>
      <c r="G27" s="193">
        <f>-('Income Statement'!G32+'Income Statement'!G36)</f>
        <v>-30530</v>
      </c>
      <c r="H27" s="193">
        <f>-('Income Statement'!H32+'Income Statement'!H36)</f>
        <v>26378.8539149017</v>
      </c>
      <c r="I27" s="193">
        <f>-('Income Statement'!I32+'Income Statement'!I36)</f>
        <v>19797.3720692477</v>
      </c>
      <c r="J27" s="193">
        <f>-('Income Statement'!J32+'Income Statement'!J36)</f>
        <v>21042.4616986033</v>
      </c>
      <c r="K27" s="193">
        <f>-('Income Statement'!K32+'Income Statement'!K36)</f>
        <v>53670.4801252203</v>
      </c>
      <c r="L27" s="193">
        <f>-('Income Statement'!L32+'Income Statement'!L36)</f>
        <v>28132.6635795055</v>
      </c>
      <c r="M27" s="193">
        <f>-('Income Statement'!M32+'Income Statement'!M36)</f>
        <v>38860.6688604409</v>
      </c>
      <c r="N27" s="193">
        <f>-('Income Statement'!N32+'Income Statement'!N36)</f>
        <v>40754.7685911746</v>
      </c>
      <c r="O27" s="193">
        <f>-('Income Statement'!O32+'Income Statement'!O36)</f>
        <v>45411.2585188002</v>
      </c>
      <c r="P27" s="193">
        <f>-('Income Statement'!P32+'Income Statement'!P36)</f>
        <v>50774.03839849</v>
      </c>
      <c r="Q27" s="193">
        <f>-('Income Statement'!Q32+'Income Statement'!Q36)</f>
        <v>47567.4647905349</v>
      </c>
    </row>
    <row r="28" ht="14.25" customHeight="1" spans="2:17">
      <c r="B28" s="188" t="s">
        <v>424</v>
      </c>
      <c r="C28" s="189">
        <f t="shared" ref="C28:Q28" si="11">C24-C26+C27</f>
        <v>124831</v>
      </c>
      <c r="D28" s="189">
        <f t="shared" si="11"/>
        <v>165607</v>
      </c>
      <c r="E28" s="189">
        <f t="shared" si="11"/>
        <v>126790</v>
      </c>
      <c r="F28" s="189">
        <f t="shared" si="11"/>
        <v>383985</v>
      </c>
      <c r="G28" s="189">
        <f t="shared" si="11"/>
        <v>451727</v>
      </c>
      <c r="H28" s="189">
        <f t="shared" si="11"/>
        <v>504699.887527176</v>
      </c>
      <c r="I28" s="189">
        <f t="shared" si="11"/>
        <v>615244.56921644</v>
      </c>
      <c r="J28" s="189">
        <f t="shared" si="11"/>
        <v>737647.469172556</v>
      </c>
      <c r="K28" s="189">
        <f t="shared" si="11"/>
        <v>893271.835363501</v>
      </c>
      <c r="L28" s="189">
        <f t="shared" si="11"/>
        <v>990049.160575092</v>
      </c>
      <c r="M28" s="189">
        <f t="shared" si="11"/>
        <v>1119631.76422918</v>
      </c>
      <c r="N28" s="189">
        <f t="shared" si="11"/>
        <v>1233969.73406041</v>
      </c>
      <c r="O28" s="189">
        <f t="shared" si="11"/>
        <v>1341645.56895774</v>
      </c>
      <c r="P28" s="189">
        <f t="shared" si="11"/>
        <v>1437646.46909249</v>
      </c>
      <c r="Q28" s="189">
        <f t="shared" si="11"/>
        <v>1509924.7914235</v>
      </c>
    </row>
    <row r="29" ht="14.25" customHeight="1" spans="2:17">
      <c r="B29" s="190" t="s">
        <v>416</v>
      </c>
      <c r="C29" s="191"/>
      <c r="D29" s="191">
        <f t="shared" ref="D29:Q29" si="12">IFERROR((D28-C28)/C28,"")</f>
        <v>0.326649630300166</v>
      </c>
      <c r="E29" s="191">
        <f t="shared" si="12"/>
        <v>-0.234392266027402</v>
      </c>
      <c r="F29" s="191">
        <f t="shared" si="12"/>
        <v>2.02851171228015</v>
      </c>
      <c r="G29" s="191">
        <f t="shared" si="12"/>
        <v>0.176418349675118</v>
      </c>
      <c r="H29" s="191">
        <f t="shared" si="12"/>
        <v>0.117267481304363</v>
      </c>
      <c r="I29" s="191">
        <f t="shared" si="12"/>
        <v>0.219030525706847</v>
      </c>
      <c r="J29" s="191">
        <f t="shared" si="12"/>
        <v>0.198949988476948</v>
      </c>
      <c r="K29" s="191">
        <f t="shared" si="12"/>
        <v>0.21097390378837</v>
      </c>
      <c r="L29" s="191">
        <f t="shared" si="12"/>
        <v>0.108340284984144</v>
      </c>
      <c r="M29" s="191">
        <f t="shared" si="12"/>
        <v>0.130885019465916</v>
      </c>
      <c r="N29" s="191">
        <f t="shared" si="12"/>
        <v>0.102121048619897</v>
      </c>
      <c r="O29" s="191">
        <f t="shared" si="12"/>
        <v>0.0872597049386526</v>
      </c>
      <c r="P29" s="191">
        <f t="shared" si="12"/>
        <v>0.0715545911349162</v>
      </c>
      <c r="Q29" s="191">
        <f t="shared" si="12"/>
        <v>0.0502754494132604</v>
      </c>
    </row>
    <row r="30" ht="14.25" customHeight="1" spans="2:17">
      <c r="B30" s="192" t="s">
        <v>425</v>
      </c>
      <c r="C30" s="193">
        <f>'Income Statement'!C40</f>
        <v>41779</v>
      </c>
      <c r="D30" s="193">
        <f>'Income Statement'!D40</f>
        <v>42733</v>
      </c>
      <c r="E30" s="193">
        <f>'Income Statement'!E40</f>
        <v>41210</v>
      </c>
      <c r="F30" s="193">
        <f>'Income Statement'!F40</f>
        <v>9172</v>
      </c>
      <c r="G30" s="193">
        <f>'Income Statement'!G40</f>
        <v>113499</v>
      </c>
      <c r="H30" s="193">
        <f>'Income Statement'!H40</f>
        <v>129332.2412982</v>
      </c>
      <c r="I30" s="193">
        <f>'Income Statement'!I40</f>
        <v>157659.950100589</v>
      </c>
      <c r="J30" s="193">
        <f>'Income Statement'!J40</f>
        <v>192714.63270224</v>
      </c>
      <c r="K30" s="193">
        <f>'Income Statement'!K40</f>
        <v>233372.391080574</v>
      </c>
      <c r="L30" s="193">
        <f>'Income Statement'!L40</f>
        <v>263606.26824055</v>
      </c>
      <c r="M30" s="193">
        <f>'Income Statement'!M40</f>
        <v>298108.379790552</v>
      </c>
      <c r="N30" s="193">
        <f>'Income Statement'!N40</f>
        <v>334721.368807444</v>
      </c>
      <c r="O30" s="193">
        <f>'Income Statement'!O40</f>
        <v>363929.056686243</v>
      </c>
      <c r="P30" s="193">
        <f>'Income Statement'!P40</f>
        <v>397158.083885005</v>
      </c>
      <c r="Q30" s="193">
        <f>'Income Statement'!Q40</f>
        <v>417125.385040433</v>
      </c>
    </row>
    <row r="31" ht="14.25" customHeight="1" spans="2:17">
      <c r="B31" s="188" t="s">
        <v>426</v>
      </c>
      <c r="C31" s="189">
        <f t="shared" ref="C31:Q31" si="13">C28-C30</f>
        <v>83052</v>
      </c>
      <c r="D31" s="189">
        <f t="shared" si="13"/>
        <v>122874</v>
      </c>
      <c r="E31" s="189">
        <f t="shared" si="13"/>
        <v>85580</v>
      </c>
      <c r="F31" s="189">
        <f t="shared" si="13"/>
        <v>374813</v>
      </c>
      <c r="G31" s="189">
        <f t="shared" si="13"/>
        <v>338228</v>
      </c>
      <c r="H31" s="189">
        <f t="shared" si="13"/>
        <v>375367.646228976</v>
      </c>
      <c r="I31" s="189">
        <f t="shared" si="13"/>
        <v>457584.619115851</v>
      </c>
      <c r="J31" s="189">
        <f t="shared" si="13"/>
        <v>544932.836470315</v>
      </c>
      <c r="K31" s="189">
        <f t="shared" si="13"/>
        <v>659899.444282927</v>
      </c>
      <c r="L31" s="189">
        <f t="shared" si="13"/>
        <v>726442.892334542</v>
      </c>
      <c r="M31" s="189">
        <f t="shared" si="13"/>
        <v>821523.384438625</v>
      </c>
      <c r="N31" s="189">
        <f t="shared" si="13"/>
        <v>899248.365252962</v>
      </c>
      <c r="O31" s="189">
        <f t="shared" si="13"/>
        <v>977716.512271501</v>
      </c>
      <c r="P31" s="189">
        <f t="shared" si="13"/>
        <v>1040488.38520748</v>
      </c>
      <c r="Q31" s="189">
        <f t="shared" si="13"/>
        <v>1092799.40638307</v>
      </c>
    </row>
    <row r="32" ht="14.25" customHeight="1" spans="2:17">
      <c r="B32" s="190" t="s">
        <v>416</v>
      </c>
      <c r="C32" s="191"/>
      <c r="D32" s="191">
        <f t="shared" ref="D32:Q32" si="14">IFERROR((D31-C31)/C31,"")</f>
        <v>0.479482733709002</v>
      </c>
      <c r="E32" s="191">
        <f t="shared" si="14"/>
        <v>-0.303514168986116</v>
      </c>
      <c r="F32" s="191">
        <f t="shared" si="14"/>
        <v>3.37967983173639</v>
      </c>
      <c r="G32" s="191">
        <f t="shared" si="14"/>
        <v>-0.0976086741921972</v>
      </c>
      <c r="H32" s="191">
        <f t="shared" si="14"/>
        <v>0.109806539461477</v>
      </c>
      <c r="I32" s="191">
        <f t="shared" si="14"/>
        <v>0.219030525706847</v>
      </c>
      <c r="J32" s="191">
        <f t="shared" si="14"/>
        <v>0.190889758321071</v>
      </c>
      <c r="K32" s="191">
        <f t="shared" si="14"/>
        <v>0.210973903788369</v>
      </c>
      <c r="L32" s="191">
        <f t="shared" si="14"/>
        <v>0.10083876964607</v>
      </c>
      <c r="M32" s="191">
        <f t="shared" si="14"/>
        <v>0.130885019465916</v>
      </c>
      <c r="N32" s="191">
        <f t="shared" si="14"/>
        <v>0.0946107953670111</v>
      </c>
      <c r="O32" s="191">
        <f t="shared" si="14"/>
        <v>0.0872597049386524</v>
      </c>
      <c r="P32" s="191">
        <f t="shared" si="14"/>
        <v>0.0642025292077201</v>
      </c>
      <c r="Q32" s="191">
        <f t="shared" si="14"/>
        <v>0.0502754494132604</v>
      </c>
    </row>
    <row r="33" ht="14.25" customHeight="1" spans="2:17">
      <c r="B33" s="190" t="s">
        <v>427</v>
      </c>
      <c r="C33" s="191">
        <f t="shared" ref="C33:Q33" si="15">IFERROR(C31/C11,"")</f>
        <v>0.0709353850148444</v>
      </c>
      <c r="D33" s="191">
        <f t="shared" si="15"/>
        <v>0.0877161421859005</v>
      </c>
      <c r="E33" s="191">
        <f t="shared" si="15"/>
        <v>0.0565191146615523</v>
      </c>
      <c r="F33" s="191">
        <f t="shared" si="15"/>
        <v>0.2147200744276</v>
      </c>
      <c r="G33" s="191">
        <f t="shared" si="15"/>
        <v>0.158205641888937</v>
      </c>
      <c r="H33" s="191">
        <f t="shared" si="15"/>
        <v>0.14770749978777</v>
      </c>
      <c r="I33" s="191">
        <f t="shared" si="15"/>
        <v>0.159929768613012</v>
      </c>
      <c r="J33" s="191">
        <f t="shared" si="15"/>
        <v>0.170736941412393</v>
      </c>
      <c r="K33" s="191">
        <f t="shared" si="15"/>
        <v>0.187083925286519</v>
      </c>
      <c r="L33" s="191">
        <f t="shared" si="15"/>
        <v>0.188110597896365</v>
      </c>
      <c r="M33" s="191">
        <f t="shared" si="15"/>
        <v>0.196152083043509</v>
      </c>
      <c r="N33" s="191">
        <f t="shared" si="15"/>
        <v>0.199870593897715</v>
      </c>
      <c r="O33" s="191">
        <f t="shared" si="15"/>
        <v>0.204238566110492</v>
      </c>
      <c r="P33" s="191">
        <f t="shared" si="15"/>
        <v>0.206252022962242</v>
      </c>
      <c r="Q33" s="191">
        <f t="shared" si="15"/>
        <v>0.207556474447415</v>
      </c>
    </row>
    <row r="34" ht="14.25" customHeight="1" spans="2:17">
      <c r="B34" s="192" t="s">
        <v>428</v>
      </c>
      <c r="C34" s="194">
        <f>'Income Statement'!C45</f>
        <v>14.9660986834115</v>
      </c>
      <c r="D34" s="194">
        <f>'Income Statement'!D45</f>
        <v>22.1420845930923</v>
      </c>
      <c r="E34" s="194">
        <f>'Income Statement'!E45</f>
        <v>15.4216481881996</v>
      </c>
      <c r="F34" s="194">
        <f>'Income Statement'!F45</f>
        <v>67.5418815419918</v>
      </c>
      <c r="G34" s="194">
        <f>'Income Statement'!G45</f>
        <v>60.9492080322316</v>
      </c>
      <c r="H34" s="194">
        <f>'Income Statement'!H45</f>
        <v>67.6418296491685</v>
      </c>
      <c r="I34" s="194">
        <f>'Income Statement'!I45</f>
        <v>82.4574551569989</v>
      </c>
      <c r="J34" s="194">
        <f>'Income Statement'!J45</f>
        <v>98.197738843689</v>
      </c>
      <c r="K34" s="194">
        <f>'Income Statement'!K45</f>
        <v>118.914899150733</v>
      </c>
      <c r="L34" s="194">
        <f>'Income Statement'!L45</f>
        <v>130.906131273679</v>
      </c>
      <c r="M34" s="194">
        <f>'Income Statement'!M45</f>
        <v>148.039782813643</v>
      </c>
      <c r="N34" s="194">
        <f>'Income Statement'!N45</f>
        <v>162.045944411601</v>
      </c>
      <c r="O34" s="194">
        <f>'Income Statement'!O45</f>
        <v>176.186025707463</v>
      </c>
      <c r="P34" s="194">
        <f>'Income Statement'!P45</f>
        <v>187.497614168938</v>
      </c>
      <c r="Q34" s="194">
        <f>'Income Statement'!Q45</f>
        <v>196.924140985195</v>
      </c>
    </row>
  </sheetData>
  <mergeCells count="4">
    <mergeCell ref="P6:Q6"/>
    <mergeCell ref="B7:Q7"/>
    <mergeCell ref="B8:B9"/>
    <mergeCell ref="A1:J4"/>
  </mergeCells>
  <pageMargins left="0.75" right="0.75" top="1" bottom="1" header="0.511811023622047" footer="0.511811023622047"/>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J4"/>
  <sheetViews>
    <sheetView showGridLines="0" workbookViewId="0">
      <selection activeCell="B6" sqref="B6"/>
    </sheetView>
  </sheetViews>
  <sheetFormatPr defaultColWidth="8.89814814814815" defaultRowHeight="14.4" outlineLevelRow="3"/>
  <cols>
    <col min="1" max="1" width="2.76851851851852" style="1" customWidth="1"/>
  </cols>
  <sheetData>
    <row r="1" ht="14.25" customHeight="1" spans="1:10">
      <c r="A1" s="2" t="s">
        <v>429</v>
      </c>
      <c r="B1" s="2"/>
      <c r="C1" s="2"/>
      <c r="D1" s="2"/>
      <c r="E1" s="2"/>
      <c r="F1" s="2"/>
      <c r="G1" s="2"/>
      <c r="H1" s="2"/>
      <c r="I1" s="2"/>
      <c r="J1" s="2"/>
    </row>
    <row r="2" ht="14.25" customHeight="1" spans="1:10">
      <c r="A2" s="2"/>
      <c r="B2" s="2"/>
      <c r="C2" s="2"/>
      <c r="D2" s="2"/>
      <c r="E2" s="2"/>
      <c r="F2" s="2"/>
      <c r="G2" s="2"/>
      <c r="H2" s="2"/>
      <c r="I2" s="2"/>
      <c r="J2" s="2"/>
    </row>
    <row r="3" ht="14.25" customHeight="1" spans="1:10">
      <c r="A3" s="2"/>
      <c r="B3" s="2"/>
      <c r="C3" s="2"/>
      <c r="D3" s="2"/>
      <c r="E3" s="2"/>
      <c r="F3" s="2"/>
      <c r="G3" s="2"/>
      <c r="H3" s="2"/>
      <c r="I3" s="2"/>
      <c r="J3" s="2"/>
    </row>
    <row r="4" ht="14.25" customHeight="1" spans="1:10">
      <c r="A4" s="2"/>
      <c r="B4" s="2"/>
      <c r="C4" s="2"/>
      <c r="D4" s="2"/>
      <c r="E4" s="2"/>
      <c r="F4" s="2"/>
      <c r="G4" s="2"/>
      <c r="H4" s="2"/>
      <c r="I4" s="2"/>
      <c r="J4" s="2"/>
    </row>
  </sheetData>
  <mergeCells count="1">
    <mergeCell ref="A1:J4"/>
  </mergeCells>
  <pageMargins left="0.75" right="0.75" top="1" bottom="1" header="0.511811023622047" footer="0.511811023622047"/>
  <pageSetup paperSize="9" orientation="portrait" horizontalDpi="300" verticalDpi="30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M640"/>
  <sheetViews>
    <sheetView showGridLines="0" zoomScale="71" zoomScaleNormal="71" workbookViewId="0">
      <selection activeCell="I8" sqref="I8:I10"/>
    </sheetView>
  </sheetViews>
  <sheetFormatPr defaultColWidth="8.89814814814815" defaultRowHeight="14.4"/>
  <cols>
    <col min="1" max="1" width="2.66666666666667" style="1" customWidth="1"/>
    <col min="2" max="5" width="25.3333333333333" style="126" customWidth="1"/>
    <col min="6" max="6" width="25.3333333333333" style="127" customWidth="1"/>
    <col min="7" max="7" width="13.2222222222222" style="1" customWidth="1"/>
    <col min="8" max="8" width="11.3333333333333" style="1" customWidth="1"/>
    <col min="9" max="9" width="13.4537037037037" style="1" customWidth="1"/>
    <col min="10" max="10" width="14.1111111111111" style="1" customWidth="1"/>
    <col min="11" max="11" width="10" style="1" customWidth="1"/>
  </cols>
  <sheetData>
    <row r="1" ht="14.25" customHeight="1" spans="1:13">
      <c r="A1" s="2" t="s">
        <v>84</v>
      </c>
      <c r="B1" s="2"/>
      <c r="C1" s="2"/>
      <c r="D1" s="2"/>
      <c r="E1" s="2"/>
      <c r="F1" s="2"/>
      <c r="G1" s="2"/>
      <c r="H1" s="2"/>
      <c r="I1" s="2"/>
      <c r="J1" s="2"/>
    </row>
    <row r="2" ht="14.25" customHeight="1" spans="1:13">
      <c r="A2" s="2"/>
      <c r="B2" s="2"/>
      <c r="C2" s="2"/>
      <c r="D2" s="2"/>
      <c r="E2" s="2"/>
      <c r="F2" s="2"/>
      <c r="G2" s="2"/>
      <c r="H2" s="2"/>
      <c r="I2" s="2"/>
      <c r="J2" s="2"/>
    </row>
    <row r="3" ht="14.25" customHeight="1" spans="1:13">
      <c r="A3" s="2"/>
      <c r="B3" s="2"/>
      <c r="C3" s="2"/>
      <c r="D3" s="2"/>
      <c r="E3" s="2"/>
      <c r="F3" s="2"/>
      <c r="G3" s="2"/>
      <c r="H3" s="2"/>
      <c r="I3" s="2"/>
      <c r="J3" s="2"/>
    </row>
    <row r="4" ht="14.25" customHeight="1" spans="1:13">
      <c r="A4" s="2"/>
      <c r="B4" s="2"/>
      <c r="C4" s="2"/>
      <c r="D4" s="2"/>
      <c r="E4" s="2"/>
      <c r="F4" s="2"/>
      <c r="G4" s="2"/>
      <c r="H4" s="2"/>
      <c r="I4" s="2"/>
      <c r="J4" s="2"/>
    </row>
    <row r="6" ht="14.25" customHeight="1" spans="1:13">
      <c r="G6" s="144"/>
      <c r="H6" s="145"/>
      <c r="I6" s="145"/>
      <c r="J6" s="145"/>
      <c r="K6" s="145"/>
      <c r="L6" s="145"/>
      <c r="M6" s="145"/>
    </row>
    <row r="7" ht="14.25" customHeight="1" spans="1:13">
      <c r="B7" s="146" t="s">
        <v>361</v>
      </c>
      <c r="C7" s="147" t="s">
        <v>430</v>
      </c>
      <c r="D7" s="146" t="s">
        <v>431</v>
      </c>
      <c r="E7" s="147" t="s">
        <v>432</v>
      </c>
      <c r="F7" s="148" t="s">
        <v>431</v>
      </c>
      <c r="G7" s="149"/>
      <c r="H7" s="150"/>
      <c r="I7" s="151"/>
      <c r="J7" s="152"/>
      <c r="K7" s="153"/>
      <c r="L7" s="145"/>
      <c r="M7" s="154"/>
    </row>
    <row r="8" ht="14.25" customHeight="1" spans="1:13">
      <c r="B8" s="131">
        <v>46224</v>
      </c>
      <c r="C8" s="155">
        <v>1948.4</v>
      </c>
      <c r="D8" s="135" t="s">
        <v>109</v>
      </c>
      <c r="E8" s="132">
        <v>24193.15</v>
      </c>
      <c r="F8" s="156"/>
      <c r="G8" s="149"/>
      <c r="H8" s="157" t="s">
        <v>433</v>
      </c>
      <c r="I8" s="158">
        <f>MIN(C8:C36)</f>
        <v>1775.2</v>
      </c>
      <c r="J8" s="159"/>
      <c r="K8" s="153"/>
      <c r="L8" s="145"/>
      <c r="M8" s="154"/>
    </row>
    <row r="9" ht="14.25" customHeight="1" spans="1:13">
      <c r="B9" s="131">
        <v>46223</v>
      </c>
      <c r="C9" s="155">
        <v>1940.1</v>
      </c>
      <c r="D9" s="135">
        <f t="shared" ref="D9:D72" si="0">C8/C9-1</f>
        <v>0.00427812999329946</v>
      </c>
      <c r="E9" s="132">
        <v>24238.5</v>
      </c>
      <c r="F9" s="160">
        <f t="shared" ref="F9:F72" si="1">E8/E9-1</f>
        <v>-0.00187099036656557</v>
      </c>
      <c r="G9" s="149"/>
      <c r="H9" s="161"/>
      <c r="I9" s="158"/>
      <c r="J9" s="159"/>
      <c r="K9" s="153"/>
      <c r="L9" s="145"/>
      <c r="M9" s="162"/>
    </row>
    <row r="10" ht="14.25" customHeight="1" spans="1:13">
      <c r="B10" s="131">
        <v>46220</v>
      </c>
      <c r="C10" s="155">
        <v>1908.8</v>
      </c>
      <c r="D10" s="135">
        <f t="shared" si="0"/>
        <v>0.0163977367979882</v>
      </c>
      <c r="E10" s="132">
        <v>24334.3</v>
      </c>
      <c r="F10" s="160">
        <f t="shared" si="1"/>
        <v>-0.00393682990675714</v>
      </c>
      <c r="G10" s="149"/>
      <c r="H10" s="157" t="s">
        <v>434</v>
      </c>
      <c r="I10" s="153">
        <f>MAX(C8:C36)</f>
        <v>1948.4</v>
      </c>
      <c r="J10" s="159"/>
      <c r="K10" s="153"/>
      <c r="L10" s="145"/>
      <c r="M10" s="154"/>
    </row>
    <row r="11" ht="14.25" customHeight="1" spans="1:13">
      <c r="B11" s="131">
        <v>46219</v>
      </c>
      <c r="C11" s="155">
        <v>1921.8</v>
      </c>
      <c r="D11" s="135">
        <f t="shared" si="0"/>
        <v>-0.00676449162243731</v>
      </c>
      <c r="E11" s="132">
        <v>24072.75</v>
      </c>
      <c r="F11" s="160">
        <f t="shared" si="1"/>
        <v>0.0108649821894049</v>
      </c>
      <c r="G11" s="149"/>
      <c r="H11" s="161"/>
      <c r="I11" s="153"/>
      <c r="J11" s="159"/>
      <c r="K11" s="153"/>
      <c r="L11" s="145"/>
      <c r="M11" s="162"/>
    </row>
    <row r="12" ht="14.25" customHeight="1" spans="1:13">
      <c r="B12" s="131">
        <v>46218</v>
      </c>
      <c r="C12" s="155">
        <v>1918.3</v>
      </c>
      <c r="D12" s="135">
        <f t="shared" si="0"/>
        <v>0.00182453213783029</v>
      </c>
      <c r="E12" s="132">
        <v>24078.5</v>
      </c>
      <c r="F12" s="160">
        <f t="shared" si="1"/>
        <v>-0.000238802250970838</v>
      </c>
      <c r="G12" s="149"/>
      <c r="H12" s="163"/>
      <c r="I12" s="164"/>
      <c r="J12" s="165"/>
      <c r="K12" s="153"/>
      <c r="L12" s="145"/>
      <c r="M12" s="154"/>
    </row>
    <row r="13" ht="14.25" customHeight="1" spans="1:13">
      <c r="B13" s="131">
        <v>46217</v>
      </c>
      <c r="C13" s="155">
        <v>1936.5</v>
      </c>
      <c r="D13" s="135">
        <f t="shared" si="0"/>
        <v>-0.00939839917376717</v>
      </c>
      <c r="E13" s="132">
        <v>24052.05</v>
      </c>
      <c r="F13" s="160">
        <f t="shared" si="1"/>
        <v>0.00109969836250956</v>
      </c>
      <c r="G13" s="149"/>
      <c r="H13" s="166"/>
      <c r="I13" s="153"/>
      <c r="J13" s="153"/>
      <c r="K13" s="153"/>
      <c r="L13" s="145"/>
      <c r="M13" s="162"/>
    </row>
    <row r="14" ht="14.25" customHeight="1" spans="1:13">
      <c r="B14" s="131">
        <v>46216</v>
      </c>
      <c r="C14" s="155">
        <v>1901.8</v>
      </c>
      <c r="D14" s="135">
        <f t="shared" si="0"/>
        <v>0.0182458723314756</v>
      </c>
      <c r="E14" s="132">
        <v>24211</v>
      </c>
      <c r="F14" s="160">
        <f t="shared" si="1"/>
        <v>-0.00656519763743757</v>
      </c>
      <c r="G14" s="167"/>
      <c r="H14" s="168"/>
      <c r="I14" s="169"/>
      <c r="J14" s="169"/>
      <c r="K14" s="169"/>
      <c r="L14" s="170"/>
      <c r="M14" s="171"/>
    </row>
    <row r="15" s="125" customFormat="1" ht="14.25" customHeight="1" spans="1:13">
      <c r="B15" s="137">
        <v>46213</v>
      </c>
      <c r="C15" s="155">
        <v>1946.4</v>
      </c>
      <c r="D15" s="135">
        <f t="shared" si="0"/>
        <v>-0.0229140978216195</v>
      </c>
      <c r="E15" s="155">
        <f>'Market Data'!C15</f>
        <v>24206.9</v>
      </c>
      <c r="F15" s="160">
        <f t="shared" si="1"/>
        <v>0.000169373195245903</v>
      </c>
      <c r="G15" s="172"/>
      <c r="H15" s="173"/>
      <c r="I15" s="153"/>
      <c r="J15" s="153"/>
      <c r="K15" s="153"/>
      <c r="L15" s="145"/>
      <c r="M15" s="154"/>
    </row>
    <row r="16" s="125" customFormat="1" ht="14.25" customHeight="1" spans="1:13">
      <c r="B16" s="137">
        <v>46212</v>
      </c>
      <c r="C16" s="155">
        <v>1902</v>
      </c>
      <c r="D16" s="135">
        <f t="shared" si="0"/>
        <v>0.0233438485804416</v>
      </c>
      <c r="E16" s="155">
        <f>'Market Data'!C16</f>
        <v>23962.8</v>
      </c>
      <c r="F16" s="160">
        <f t="shared" si="1"/>
        <v>0.0101866225983609</v>
      </c>
      <c r="G16" s="172"/>
      <c r="H16" s="166"/>
      <c r="I16" s="145"/>
      <c r="J16" s="74"/>
      <c r="K16" s="74"/>
      <c r="L16" s="74"/>
      <c r="M16" s="74"/>
    </row>
    <row r="17" s="125" customFormat="1" ht="14.25" customHeight="1" spans="2:11">
      <c r="B17" s="137">
        <v>46211</v>
      </c>
      <c r="C17" s="155">
        <v>1888.1</v>
      </c>
      <c r="D17" s="135">
        <f t="shared" si="0"/>
        <v>0.00736189820454425</v>
      </c>
      <c r="E17" s="155">
        <f>'Market Data'!C17</f>
        <v>23882.05</v>
      </c>
      <c r="F17" s="160">
        <f t="shared" si="1"/>
        <v>0.00338120052508062</v>
      </c>
      <c r="H17" s="138"/>
      <c r="I17" s="136"/>
    </row>
    <row r="18" s="125" customFormat="1" ht="14.25" customHeight="1" spans="2:11">
      <c r="B18" s="137">
        <v>46210</v>
      </c>
      <c r="C18" s="155">
        <v>1931.1</v>
      </c>
      <c r="D18" s="135">
        <f t="shared" si="0"/>
        <v>-0.0222671016519083</v>
      </c>
      <c r="E18" s="155">
        <f>'Market Data'!C18</f>
        <v>24398.7</v>
      </c>
      <c r="F18" s="160">
        <f t="shared" si="1"/>
        <v>-0.021175308520536</v>
      </c>
      <c r="H18" s="138"/>
      <c r="I18" s="136"/>
    </row>
    <row r="19" ht="14.25" customHeight="1" spans="2:11">
      <c r="B19" s="137">
        <v>46209</v>
      </c>
      <c r="C19" s="155">
        <v>1920.6</v>
      </c>
      <c r="D19" s="135">
        <f t="shared" si="0"/>
        <v>0.00546704154951572</v>
      </c>
      <c r="E19" s="155">
        <v>24385.45</v>
      </c>
      <c r="F19" s="160">
        <f t="shared" si="1"/>
        <v>0.000543356796778305</v>
      </c>
      <c r="H19" s="138"/>
      <c r="I19" s="136"/>
    </row>
    <row r="20" ht="14.25" customHeight="1" spans="2:11">
      <c r="B20" s="137">
        <v>46206</v>
      </c>
      <c r="C20" s="155">
        <v>1910.4</v>
      </c>
      <c r="D20" s="135">
        <f t="shared" si="0"/>
        <v>0.0053391959798994</v>
      </c>
      <c r="E20" s="155">
        <v>24270.85</v>
      </c>
      <c r="F20" s="160">
        <f t="shared" si="1"/>
        <v>0.00472171349581907</v>
      </c>
      <c r="H20" s="138"/>
      <c r="I20" s="136"/>
    </row>
    <row r="21" ht="15" customHeight="1" spans="2:11">
      <c r="B21" s="137">
        <v>46205</v>
      </c>
      <c r="C21" s="155">
        <v>1875</v>
      </c>
      <c r="D21" s="135">
        <f t="shared" si="0"/>
        <v>0.01888</v>
      </c>
      <c r="E21" s="155">
        <v>24175.7</v>
      </c>
      <c r="F21" s="160">
        <f t="shared" si="1"/>
        <v>0.00393577021554692</v>
      </c>
      <c r="H21" s="138"/>
      <c r="I21" s="136"/>
      <c r="J21" s="174"/>
    </row>
    <row r="22" ht="14.25" customHeight="1" spans="2:11">
      <c r="B22" s="137">
        <v>46204</v>
      </c>
      <c r="C22" s="155">
        <v>1871</v>
      </c>
      <c r="D22" s="135">
        <f t="shared" si="0"/>
        <v>0.00213789417423849</v>
      </c>
      <c r="E22" s="155">
        <v>24005.85</v>
      </c>
      <c r="F22" s="160">
        <f t="shared" si="1"/>
        <v>0.00707535871464682</v>
      </c>
    </row>
    <row r="23" ht="14.25" customHeight="1" spans="2:11">
      <c r="B23" s="137">
        <v>46203</v>
      </c>
      <c r="C23" s="155">
        <v>1852</v>
      </c>
      <c r="D23" s="135">
        <f t="shared" si="0"/>
        <v>0.0102591792656588</v>
      </c>
      <c r="E23" s="155">
        <v>23865.75</v>
      </c>
      <c r="F23" s="160">
        <f t="shared" si="1"/>
        <v>0.00587033719870522</v>
      </c>
      <c r="H23" s="175" t="s">
        <v>435</v>
      </c>
      <c r="I23" s="176">
        <f t="array" ref="I23">_xlfn.COVARIANCE.S(D9:D391,F9:F391)</f>
        <v>5.50313851882523e-5</v>
      </c>
      <c r="J23" s="177" t="s">
        <v>436</v>
      </c>
      <c r="K23" s="176">
        <f>_xlfn.VAR.S(F9:F391)</f>
        <v>7.3758024568454e-5</v>
      </c>
    </row>
    <row r="24" ht="14.25" customHeight="1" spans="2:11">
      <c r="B24" s="137">
        <v>46202</v>
      </c>
      <c r="C24" s="155">
        <v>1841.1</v>
      </c>
      <c r="D24" s="135">
        <f t="shared" si="0"/>
        <v>0.00592037368964204</v>
      </c>
      <c r="E24" s="155">
        <v>23946.25</v>
      </c>
      <c r="F24" s="160">
        <f t="shared" si="1"/>
        <v>-0.00336169546379916</v>
      </c>
      <c r="H24" s="8"/>
      <c r="I24" s="8"/>
      <c r="J24" s="8"/>
      <c r="K24" s="8"/>
    </row>
    <row r="25" ht="14.25" customHeight="1" spans="2:11">
      <c r="B25" s="137">
        <v>46198</v>
      </c>
      <c r="C25" s="155">
        <v>1850.7</v>
      </c>
      <c r="D25" s="135">
        <f t="shared" si="0"/>
        <v>-0.00518722645485503</v>
      </c>
      <c r="E25" s="155">
        <v>24056</v>
      </c>
      <c r="F25" s="160">
        <f t="shared" si="1"/>
        <v>-0.00456227136681076</v>
      </c>
      <c r="H25" s="178" t="s">
        <v>437</v>
      </c>
      <c r="I25" s="179">
        <f>I23/K23</f>
        <v>0.746107091536572</v>
      </c>
      <c r="J25" s="14"/>
      <c r="K25" s="14"/>
    </row>
    <row r="26" ht="14.25" customHeight="1" spans="2:11">
      <c r="B26" s="137">
        <v>46197</v>
      </c>
      <c r="C26" s="155">
        <v>1877.3</v>
      </c>
      <c r="D26" s="135">
        <f t="shared" si="0"/>
        <v>-0.0141692856762371</v>
      </c>
      <c r="E26" s="155">
        <v>24021.65</v>
      </c>
      <c r="F26" s="160">
        <f t="shared" si="1"/>
        <v>0.00142996005686524</v>
      </c>
    </row>
    <row r="27" ht="14.25" customHeight="1" spans="2:11">
      <c r="B27" s="137">
        <v>46196</v>
      </c>
      <c r="C27" s="155">
        <v>1901.6</v>
      </c>
      <c r="D27" s="135">
        <f t="shared" si="0"/>
        <v>-0.0127787126630206</v>
      </c>
      <c r="E27" s="155">
        <v>23824.1</v>
      </c>
      <c r="F27" s="160">
        <f t="shared" si="1"/>
        <v>0.00829202362313808</v>
      </c>
    </row>
    <row r="28" ht="14.25" customHeight="1" spans="2:11">
      <c r="B28" s="137">
        <v>46195</v>
      </c>
      <c r="C28" s="155">
        <v>1916.6</v>
      </c>
      <c r="D28" s="135">
        <f t="shared" si="0"/>
        <v>-0.00782635917771057</v>
      </c>
      <c r="E28" s="155">
        <v>24102.9</v>
      </c>
      <c r="F28" s="160">
        <f t="shared" si="1"/>
        <v>-0.0115670728418573</v>
      </c>
    </row>
    <row r="29" ht="14.25" customHeight="1" spans="2:11">
      <c r="B29" s="137">
        <v>46192</v>
      </c>
      <c r="C29" s="155">
        <v>1910.8</v>
      </c>
      <c r="D29" s="135">
        <f t="shared" si="0"/>
        <v>0.00303537785220853</v>
      </c>
      <c r="E29" s="155">
        <v>24013.1</v>
      </c>
      <c r="F29" s="160">
        <f t="shared" si="1"/>
        <v>0.00373962545443951</v>
      </c>
    </row>
    <row r="30" ht="14.25" customHeight="1" spans="2:11">
      <c r="B30" s="137">
        <v>46191</v>
      </c>
      <c r="C30" s="155">
        <v>1874.8</v>
      </c>
      <c r="D30" s="135">
        <f t="shared" si="0"/>
        <v>0.0192020482184767</v>
      </c>
      <c r="E30" s="155">
        <v>24168</v>
      </c>
      <c r="F30" s="160">
        <f t="shared" si="1"/>
        <v>-0.00640930155577635</v>
      </c>
    </row>
    <row r="31" ht="14.25" customHeight="1" spans="2:11">
      <c r="B31" s="137">
        <v>46190</v>
      </c>
      <c r="C31" s="155">
        <v>1875.7</v>
      </c>
      <c r="D31" s="135">
        <f t="shared" si="0"/>
        <v>-0.000479820866876368</v>
      </c>
      <c r="E31" s="155">
        <v>24085.7</v>
      </c>
      <c r="F31" s="160">
        <f t="shared" si="1"/>
        <v>0.00341696525324142</v>
      </c>
    </row>
    <row r="32" ht="14.25" customHeight="1" spans="2:11">
      <c r="B32" s="137">
        <v>46189</v>
      </c>
      <c r="C32" s="155">
        <v>1853</v>
      </c>
      <c r="D32" s="135">
        <f t="shared" si="0"/>
        <v>0.0122504047490557</v>
      </c>
      <c r="E32" s="155">
        <v>23989.15</v>
      </c>
      <c r="F32" s="160">
        <f t="shared" si="1"/>
        <v>0.00402473618281585</v>
      </c>
    </row>
    <row r="33" ht="14.25" customHeight="1" spans="2:6">
      <c r="B33" s="137">
        <v>46188</v>
      </c>
      <c r="C33" s="155">
        <v>1841.2</v>
      </c>
      <c r="D33" s="135">
        <f t="shared" si="0"/>
        <v>0.00640886378448835</v>
      </c>
      <c r="E33" s="155">
        <v>23853.9</v>
      </c>
      <c r="F33" s="160">
        <f t="shared" si="1"/>
        <v>0.00566993238003</v>
      </c>
    </row>
    <row r="34" ht="14.25" customHeight="1" spans="2:6">
      <c r="B34" s="137">
        <v>46185</v>
      </c>
      <c r="C34" s="155">
        <v>1822.5</v>
      </c>
      <c r="D34" s="135">
        <f t="shared" si="0"/>
        <v>0.0102606310013718</v>
      </c>
      <c r="E34" s="155">
        <v>23622.9</v>
      </c>
      <c r="F34" s="160">
        <f t="shared" si="1"/>
        <v>0.00977864699084363</v>
      </c>
    </row>
    <row r="35" ht="14.25" customHeight="1" spans="2:6">
      <c r="B35" s="137">
        <v>46184</v>
      </c>
      <c r="C35" s="155">
        <v>1782.6</v>
      </c>
      <c r="D35" s="135">
        <f t="shared" si="0"/>
        <v>0.0223830360148098</v>
      </c>
      <c r="E35" s="155">
        <v>23161.6</v>
      </c>
      <c r="F35" s="160">
        <f t="shared" si="1"/>
        <v>0.0199165860735011</v>
      </c>
    </row>
    <row r="36" ht="14.25" customHeight="1" spans="2:6">
      <c r="B36" s="137">
        <v>46183</v>
      </c>
      <c r="C36" s="155">
        <v>1775.2</v>
      </c>
      <c r="D36" s="135">
        <f t="shared" si="0"/>
        <v>0.00416854438936443</v>
      </c>
      <c r="E36" s="155">
        <v>23214.95</v>
      </c>
      <c r="F36" s="160">
        <f t="shared" si="1"/>
        <v>-0.00229808808547949</v>
      </c>
    </row>
    <row r="37" ht="14.25" customHeight="1" spans="2:6">
      <c r="B37" s="137">
        <v>46182</v>
      </c>
      <c r="C37" s="155">
        <v>1799</v>
      </c>
      <c r="D37" s="135">
        <f t="shared" si="0"/>
        <v>-0.0132295719844358</v>
      </c>
      <c r="E37" s="155">
        <v>23242.1</v>
      </c>
      <c r="F37" s="160">
        <f t="shared" si="1"/>
        <v>-0.00116813885148059</v>
      </c>
    </row>
    <row r="38" ht="14.25" customHeight="1" spans="2:6">
      <c r="B38" s="137">
        <v>46181</v>
      </c>
      <c r="C38" s="155">
        <v>1813.3</v>
      </c>
      <c r="D38" s="135">
        <f t="shared" si="0"/>
        <v>-0.00788617437820549</v>
      </c>
      <c r="E38" s="155">
        <v>23123</v>
      </c>
      <c r="F38" s="160">
        <f t="shared" si="1"/>
        <v>0.00515071573757719</v>
      </c>
    </row>
    <row r="39" ht="14.25" customHeight="1" spans="2:6">
      <c r="B39" s="137">
        <v>46178</v>
      </c>
      <c r="C39" s="155">
        <v>1798.2</v>
      </c>
      <c r="D39" s="135">
        <f t="shared" si="0"/>
        <v>0.00839728617506386</v>
      </c>
      <c r="E39" s="155">
        <v>23366.7</v>
      </c>
      <c r="F39" s="160">
        <f t="shared" si="1"/>
        <v>-0.0104293717127365</v>
      </c>
    </row>
    <row r="40" ht="14.25" customHeight="1" spans="2:6">
      <c r="B40" s="137">
        <v>46177</v>
      </c>
      <c r="C40" s="155">
        <v>1818.9</v>
      </c>
      <c r="D40" s="135">
        <f t="shared" si="0"/>
        <v>-0.0113805047006432</v>
      </c>
      <c r="E40" s="155">
        <v>23416.55</v>
      </c>
      <c r="F40" s="160">
        <f t="shared" si="1"/>
        <v>-0.00212883622907722</v>
      </c>
    </row>
    <row r="41" ht="14.25" customHeight="1" spans="2:6">
      <c r="B41" s="137">
        <v>46176</v>
      </c>
      <c r="C41" s="155">
        <v>1824.1</v>
      </c>
      <c r="D41" s="135">
        <f t="shared" si="0"/>
        <v>-0.00285072090345917</v>
      </c>
      <c r="E41" s="155">
        <v>23405.6</v>
      </c>
      <c r="F41" s="160">
        <f t="shared" si="1"/>
        <v>0.00046783675701545</v>
      </c>
    </row>
    <row r="42" ht="14.25" customHeight="1" spans="2:6">
      <c r="B42" s="137">
        <v>46175</v>
      </c>
      <c r="C42" s="155">
        <v>1814.2</v>
      </c>
      <c r="D42" s="135">
        <f t="shared" si="0"/>
        <v>0.00545695072208119</v>
      </c>
      <c r="E42" s="155">
        <v>23483.55</v>
      </c>
      <c r="F42" s="160">
        <f t="shared" si="1"/>
        <v>-0.00331934481796836</v>
      </c>
    </row>
    <row r="43" ht="14.25" customHeight="1" spans="2:6">
      <c r="B43" s="137">
        <v>46174</v>
      </c>
      <c r="C43" s="155">
        <v>1810.6</v>
      </c>
      <c r="D43" s="135">
        <f t="shared" si="0"/>
        <v>0.00198829117419641</v>
      </c>
      <c r="E43" s="155">
        <v>23382.6</v>
      </c>
      <c r="F43" s="160">
        <f t="shared" si="1"/>
        <v>0.00431731287367532</v>
      </c>
    </row>
    <row r="44" ht="14.25" customHeight="1" spans="2:6">
      <c r="B44" s="137">
        <v>46171</v>
      </c>
      <c r="C44" s="155">
        <v>1829</v>
      </c>
      <c r="D44" s="135">
        <f t="shared" si="0"/>
        <v>-0.0100601421541827</v>
      </c>
      <c r="E44" s="155">
        <v>23547.75</v>
      </c>
      <c r="F44" s="160">
        <f t="shared" si="1"/>
        <v>-0.0070134089244196</v>
      </c>
    </row>
    <row r="45" ht="14.25" customHeight="1" spans="2:6">
      <c r="B45" s="137">
        <v>46169</v>
      </c>
      <c r="C45" s="155">
        <v>1852.2</v>
      </c>
      <c r="D45" s="135">
        <f t="shared" si="0"/>
        <v>-0.0125256451787065</v>
      </c>
      <c r="E45" s="155">
        <v>23907.15</v>
      </c>
      <c r="F45" s="160">
        <f t="shared" si="1"/>
        <v>-0.0150331595359547</v>
      </c>
    </row>
    <row r="46" ht="14.25" customHeight="1" spans="2:6">
      <c r="B46" s="137">
        <v>46168</v>
      </c>
      <c r="C46" s="155">
        <v>1846.9</v>
      </c>
      <c r="D46" s="135">
        <f t="shared" si="0"/>
        <v>0.00286967350695755</v>
      </c>
      <c r="E46" s="155">
        <v>23913.7</v>
      </c>
      <c r="F46" s="160">
        <f t="shared" si="1"/>
        <v>-0.000273901571065882</v>
      </c>
    </row>
    <row r="47" ht="14.25" customHeight="1" spans="2:6">
      <c r="B47" s="137">
        <v>46167</v>
      </c>
      <c r="C47" s="155">
        <v>1874.8</v>
      </c>
      <c r="D47" s="135">
        <f t="shared" si="0"/>
        <v>-0.0148815873693193</v>
      </c>
      <c r="E47" s="155">
        <v>24031.7</v>
      </c>
      <c r="F47" s="160">
        <f t="shared" si="1"/>
        <v>-0.00491018113574981</v>
      </c>
    </row>
    <row r="48" ht="14.25" customHeight="1" spans="2:6">
      <c r="B48" s="137">
        <v>46164</v>
      </c>
      <c r="C48" s="155">
        <v>1871.4</v>
      </c>
      <c r="D48" s="135">
        <f t="shared" si="0"/>
        <v>0.0018168216308645</v>
      </c>
      <c r="E48" s="155">
        <v>23719.3</v>
      </c>
      <c r="F48" s="160">
        <f t="shared" si="1"/>
        <v>0.0131707090850068</v>
      </c>
    </row>
    <row r="49" ht="14.25" customHeight="1" spans="2:6">
      <c r="B49" s="137">
        <v>46163</v>
      </c>
      <c r="C49" s="155">
        <v>1885.3</v>
      </c>
      <c r="D49" s="135">
        <f t="shared" si="0"/>
        <v>-0.00737283191004079</v>
      </c>
      <c r="E49" s="155">
        <v>23654.7</v>
      </c>
      <c r="F49" s="160">
        <f t="shared" si="1"/>
        <v>0.00273095832963421</v>
      </c>
    </row>
    <row r="50" ht="14.25" customHeight="1" spans="2:6">
      <c r="B50" s="137">
        <v>46162</v>
      </c>
      <c r="C50" s="155">
        <v>1904.9</v>
      </c>
      <c r="D50" s="135">
        <f t="shared" si="0"/>
        <v>-0.010289254029083</v>
      </c>
      <c r="E50" s="155">
        <v>23659</v>
      </c>
      <c r="F50" s="160">
        <f t="shared" si="1"/>
        <v>-0.000181749017287292</v>
      </c>
    </row>
    <row r="51" ht="14.25" customHeight="1" spans="2:6">
      <c r="B51" s="137">
        <v>46161</v>
      </c>
      <c r="C51" s="155">
        <v>1913.5</v>
      </c>
      <c r="D51" s="135">
        <f t="shared" si="0"/>
        <v>-0.00449438202247188</v>
      </c>
      <c r="E51" s="155">
        <v>23618</v>
      </c>
      <c r="F51" s="160">
        <f t="shared" si="1"/>
        <v>0.00173596409518173</v>
      </c>
    </row>
    <row r="52" ht="14.25" customHeight="1" spans="2:6">
      <c r="B52" s="137">
        <v>46160</v>
      </c>
      <c r="C52" s="155">
        <v>1938.1</v>
      </c>
      <c r="D52" s="135">
        <f t="shared" si="0"/>
        <v>-0.012692843506527</v>
      </c>
      <c r="E52" s="155">
        <v>23649.95</v>
      </c>
      <c r="F52" s="160">
        <f t="shared" si="1"/>
        <v>-0.00135095423034726</v>
      </c>
    </row>
    <row r="53" ht="14.25" customHeight="1" spans="2:6">
      <c r="B53" s="137">
        <v>46157</v>
      </c>
      <c r="C53" s="155">
        <v>1905.4</v>
      </c>
      <c r="D53" s="135">
        <f t="shared" si="0"/>
        <v>0.0171617508134774</v>
      </c>
      <c r="E53" s="155">
        <v>23643.5</v>
      </c>
      <c r="F53" s="160">
        <f t="shared" si="1"/>
        <v>0.000272802250089965</v>
      </c>
    </row>
    <row r="54" ht="14.25" customHeight="1" spans="2:6">
      <c r="B54" s="137">
        <v>46156</v>
      </c>
      <c r="C54" s="155">
        <v>1883.5</v>
      </c>
      <c r="D54" s="135">
        <f t="shared" si="0"/>
        <v>0.0116272896203877</v>
      </c>
      <c r="E54" s="155">
        <v>23689.6</v>
      </c>
      <c r="F54" s="160">
        <f t="shared" si="1"/>
        <v>-0.00194600162096437</v>
      </c>
    </row>
    <row r="55" ht="14.25" customHeight="1" spans="2:6">
      <c r="B55" s="137">
        <v>46155</v>
      </c>
      <c r="C55" s="155">
        <v>1789.2</v>
      </c>
      <c r="D55" s="135">
        <f t="shared" si="0"/>
        <v>0.052705119606528</v>
      </c>
      <c r="E55" s="155">
        <v>23412.6</v>
      </c>
      <c r="F55" s="160">
        <f t="shared" si="1"/>
        <v>0.0118312361719757</v>
      </c>
    </row>
    <row r="56" ht="14.25" customHeight="1" spans="2:6">
      <c r="B56" s="137">
        <v>46154</v>
      </c>
      <c r="C56" s="155">
        <v>1756.8</v>
      </c>
      <c r="D56" s="135">
        <f t="shared" si="0"/>
        <v>0.0184426229508197</v>
      </c>
      <c r="E56" s="155">
        <v>23379.55</v>
      </c>
      <c r="F56" s="160">
        <f t="shared" si="1"/>
        <v>0.00141362857711114</v>
      </c>
    </row>
    <row r="57" ht="14.25" customHeight="1" spans="2:6">
      <c r="B57" s="137">
        <v>46153</v>
      </c>
      <c r="C57" s="155">
        <v>1759.8</v>
      </c>
      <c r="D57" s="135">
        <f t="shared" si="0"/>
        <v>-0.00170473917490621</v>
      </c>
      <c r="E57" s="155">
        <v>23815.85</v>
      </c>
      <c r="F57" s="160">
        <f t="shared" si="1"/>
        <v>-0.0183197324470887</v>
      </c>
    </row>
    <row r="58" ht="14.25" customHeight="1" spans="2:6">
      <c r="B58" s="137">
        <v>46150</v>
      </c>
      <c r="C58" s="155">
        <v>1834.5</v>
      </c>
      <c r="D58" s="135">
        <f t="shared" si="0"/>
        <v>-0.0407195421095666</v>
      </c>
      <c r="E58" s="155">
        <v>24176.15</v>
      </c>
      <c r="F58" s="160">
        <f t="shared" si="1"/>
        <v>-0.0149031173284416</v>
      </c>
    </row>
    <row r="59" ht="14.25" customHeight="1" spans="2:6">
      <c r="B59" s="137">
        <v>46149</v>
      </c>
      <c r="C59" s="155">
        <v>1826.6</v>
      </c>
      <c r="D59" s="135">
        <f t="shared" si="0"/>
        <v>0.0043249753640644</v>
      </c>
      <c r="E59" s="155">
        <v>24326.65</v>
      </c>
      <c r="F59" s="160">
        <f t="shared" si="1"/>
        <v>-0.00618663071158587</v>
      </c>
    </row>
    <row r="60" ht="14.25" customHeight="1" spans="2:6">
      <c r="B60" s="137">
        <v>46148</v>
      </c>
      <c r="C60" s="155">
        <v>1833.7</v>
      </c>
      <c r="D60" s="135">
        <f t="shared" si="0"/>
        <v>-0.00387195288215092</v>
      </c>
      <c r="E60" s="155">
        <v>24330.95</v>
      </c>
      <c r="F60" s="160">
        <f t="shared" si="1"/>
        <v>-0.000176729638587836</v>
      </c>
    </row>
    <row r="61" ht="14.25" customHeight="1" spans="2:6">
      <c r="B61" s="137">
        <v>46147</v>
      </c>
      <c r="C61" s="155">
        <v>1806.1</v>
      </c>
      <c r="D61" s="135">
        <f t="shared" si="0"/>
        <v>0.0152815458723217</v>
      </c>
      <c r="E61" s="155">
        <v>24032.8</v>
      </c>
      <c r="F61" s="160">
        <f t="shared" si="1"/>
        <v>0.0124059618521355</v>
      </c>
    </row>
    <row r="62" ht="14.25" customHeight="1" spans="2:6">
      <c r="B62" s="137">
        <v>46146</v>
      </c>
      <c r="C62" s="155">
        <v>1827.1</v>
      </c>
      <c r="D62" s="135">
        <f t="shared" si="0"/>
        <v>-0.0114936237753818</v>
      </c>
      <c r="E62" s="155">
        <v>24119.3</v>
      </c>
      <c r="F62" s="160">
        <f t="shared" si="1"/>
        <v>-0.00358633957038557</v>
      </c>
    </row>
    <row r="63" ht="14.25" customHeight="1" spans="2:6">
      <c r="B63" s="137">
        <v>46142</v>
      </c>
      <c r="C63" s="155">
        <v>1886.8</v>
      </c>
      <c r="D63" s="135">
        <f t="shared" si="0"/>
        <v>-0.0316408734365062</v>
      </c>
      <c r="E63" s="155">
        <v>23997.55</v>
      </c>
      <c r="F63" s="160">
        <f t="shared" si="1"/>
        <v>0.00507343457978005</v>
      </c>
    </row>
    <row r="64" ht="14.25" customHeight="1" spans="2:6">
      <c r="B64" s="137">
        <v>46141</v>
      </c>
      <c r="C64" s="155">
        <v>1888.1</v>
      </c>
      <c r="D64" s="135">
        <f t="shared" si="0"/>
        <v>-0.000688522853662388</v>
      </c>
      <c r="E64" s="155">
        <v>24177.65</v>
      </c>
      <c r="F64" s="160">
        <f t="shared" si="1"/>
        <v>-0.00744902833815542</v>
      </c>
    </row>
    <row r="65" ht="14.25" customHeight="1" spans="2:6">
      <c r="B65" s="137">
        <v>46140</v>
      </c>
      <c r="C65" s="155">
        <v>1843.8</v>
      </c>
      <c r="D65" s="135">
        <f t="shared" si="0"/>
        <v>0.0240264670788588</v>
      </c>
      <c r="E65" s="155">
        <v>23995.7</v>
      </c>
      <c r="F65" s="160">
        <f t="shared" si="1"/>
        <v>0.0075826085506987</v>
      </c>
    </row>
    <row r="66" ht="14.25" customHeight="1" spans="2:6">
      <c r="B66" s="137">
        <v>46139</v>
      </c>
      <c r="C66" s="155">
        <v>1820.1</v>
      </c>
      <c r="D66" s="135">
        <f t="shared" si="0"/>
        <v>0.0130212625679909</v>
      </c>
      <c r="E66" s="155">
        <v>24092.7</v>
      </c>
      <c r="F66" s="160">
        <f t="shared" si="1"/>
        <v>-0.0040261157944107</v>
      </c>
    </row>
    <row r="67" ht="14.25" customHeight="1" spans="2:6">
      <c r="B67" s="137">
        <v>46136</v>
      </c>
      <c r="C67" s="155">
        <v>1814.5</v>
      </c>
      <c r="D67" s="135">
        <f t="shared" si="0"/>
        <v>0.00308624965555238</v>
      </c>
      <c r="E67" s="155">
        <v>23897.95</v>
      </c>
      <c r="F67" s="160">
        <f t="shared" si="1"/>
        <v>0.00814923455777583</v>
      </c>
    </row>
    <row r="68" ht="14.25" customHeight="1" spans="2:6">
      <c r="B68" s="137">
        <v>46135</v>
      </c>
      <c r="C68" s="155">
        <v>1841.2</v>
      </c>
      <c r="D68" s="135">
        <f t="shared" si="0"/>
        <v>-0.0145014121225288</v>
      </c>
      <c r="E68" s="155">
        <v>24173.05</v>
      </c>
      <c r="F68" s="160">
        <f t="shared" si="1"/>
        <v>-0.0113804422693867</v>
      </c>
    </row>
    <row r="69" ht="14.25" customHeight="1" spans="2:6">
      <c r="B69" s="137">
        <v>46134</v>
      </c>
      <c r="C69" s="155">
        <v>1829</v>
      </c>
      <c r="D69" s="135">
        <f t="shared" si="0"/>
        <v>0.00667031164570808</v>
      </c>
      <c r="E69" s="155">
        <v>24378.1</v>
      </c>
      <c r="F69" s="160">
        <f t="shared" si="1"/>
        <v>-0.0084112379553779</v>
      </c>
    </row>
    <row r="70" ht="14.25" customHeight="1" spans="2:6">
      <c r="B70" s="137">
        <v>46133</v>
      </c>
      <c r="C70" s="155">
        <v>1855</v>
      </c>
      <c r="D70" s="135">
        <f t="shared" si="0"/>
        <v>-0.0140161725067386</v>
      </c>
      <c r="E70" s="155">
        <v>24576.6</v>
      </c>
      <c r="F70" s="160">
        <f t="shared" si="1"/>
        <v>-0.00807678848986437</v>
      </c>
    </row>
    <row r="71" ht="14.25" customHeight="1" spans="2:6">
      <c r="B71" s="137">
        <v>46132</v>
      </c>
      <c r="C71" s="155">
        <v>1846.1</v>
      </c>
      <c r="D71" s="135">
        <f t="shared" si="0"/>
        <v>0.00482097394507353</v>
      </c>
      <c r="E71" s="155">
        <v>24364.85</v>
      </c>
      <c r="F71" s="160">
        <f t="shared" si="1"/>
        <v>0.00869079842477993</v>
      </c>
    </row>
    <row r="72" ht="14.25" customHeight="1" spans="2:6">
      <c r="B72" s="137">
        <v>46129</v>
      </c>
      <c r="C72" s="155">
        <v>1846.9</v>
      </c>
      <c r="D72" s="135">
        <f t="shared" si="0"/>
        <v>-0.000433158265201294</v>
      </c>
      <c r="E72" s="155">
        <v>24353.55</v>
      </c>
      <c r="F72" s="160">
        <f t="shared" si="1"/>
        <v>0.00046399806188413</v>
      </c>
    </row>
    <row r="73" ht="14.25" customHeight="1" spans="2:6">
      <c r="B73" s="137">
        <v>46128</v>
      </c>
      <c r="C73" s="155">
        <v>1840.6</v>
      </c>
      <c r="D73" s="135">
        <f t="shared" ref="D73:D136" si="2">C72/C73-1</f>
        <v>0.0034227969140499</v>
      </c>
      <c r="E73" s="155">
        <v>24196.75</v>
      </c>
      <c r="F73" s="160">
        <f t="shared" ref="F73:F136" si="3">E72/E73-1</f>
        <v>0.00648020911899327</v>
      </c>
    </row>
    <row r="74" ht="14.25" customHeight="1" spans="2:6">
      <c r="B74" s="137">
        <v>46127</v>
      </c>
      <c r="C74" s="155">
        <v>1855.7</v>
      </c>
      <c r="D74" s="135">
        <f t="shared" si="2"/>
        <v>-0.00813709112464311</v>
      </c>
      <c r="E74" s="155">
        <v>24231.3</v>
      </c>
      <c r="F74" s="160">
        <f t="shared" si="3"/>
        <v>-0.0014258417831482</v>
      </c>
    </row>
    <row r="75" ht="14.25" customHeight="1" spans="2:6">
      <c r="B75" s="137">
        <v>46125</v>
      </c>
      <c r="C75" s="155">
        <v>1870.9</v>
      </c>
      <c r="D75" s="135">
        <f t="shared" si="2"/>
        <v>-0.00812443209150682</v>
      </c>
      <c r="E75" s="155">
        <v>23842.65</v>
      </c>
      <c r="F75" s="160">
        <f t="shared" si="3"/>
        <v>0.0163006209460776</v>
      </c>
    </row>
    <row r="76" ht="14.25" customHeight="1" spans="2:6">
      <c r="B76" s="137">
        <v>46122</v>
      </c>
      <c r="C76" s="155">
        <v>1870</v>
      </c>
      <c r="D76" s="135">
        <f t="shared" si="2"/>
        <v>0.000481283422459899</v>
      </c>
      <c r="E76" s="155">
        <v>24050.6</v>
      </c>
      <c r="F76" s="160">
        <f t="shared" si="3"/>
        <v>-0.00864635393711577</v>
      </c>
    </row>
    <row r="77" ht="14.25" customHeight="1" spans="2:6">
      <c r="B77" s="137">
        <v>46121</v>
      </c>
      <c r="C77" s="155">
        <v>1859.4</v>
      </c>
      <c r="D77" s="135">
        <f t="shared" si="2"/>
        <v>0.00570076368721084</v>
      </c>
      <c r="E77" s="155">
        <v>23775.1</v>
      </c>
      <c r="F77" s="160">
        <f t="shared" si="3"/>
        <v>0.0115877535741176</v>
      </c>
    </row>
    <row r="78" ht="14.25" customHeight="1" spans="2:6">
      <c r="B78" s="137">
        <v>46120</v>
      </c>
      <c r="C78" s="155">
        <v>1861.6</v>
      </c>
      <c r="D78" s="135">
        <f t="shared" si="2"/>
        <v>-0.00118177911473993</v>
      </c>
      <c r="E78" s="155">
        <v>23997.35</v>
      </c>
      <c r="F78" s="160">
        <f t="shared" si="3"/>
        <v>-0.00926143928392098</v>
      </c>
    </row>
    <row r="79" ht="14.25" customHeight="1" spans="2:6">
      <c r="B79" s="137">
        <v>46119</v>
      </c>
      <c r="C79" s="155">
        <v>1830.3</v>
      </c>
      <c r="D79" s="135">
        <f t="shared" si="2"/>
        <v>0.0171010216904333</v>
      </c>
      <c r="E79" s="155">
        <v>23123.65</v>
      </c>
      <c r="F79" s="160">
        <f t="shared" si="3"/>
        <v>0.0377838273801929</v>
      </c>
    </row>
    <row r="80" ht="14.25" customHeight="1" spans="2:6">
      <c r="B80" s="137">
        <v>46118</v>
      </c>
      <c r="C80" s="155">
        <v>1792.8</v>
      </c>
      <c r="D80" s="135">
        <f t="shared" si="2"/>
        <v>0.0209170013386881</v>
      </c>
      <c r="E80" s="155">
        <v>22968.25</v>
      </c>
      <c r="F80" s="160">
        <f t="shared" si="3"/>
        <v>0.00676586156977566</v>
      </c>
    </row>
    <row r="81" ht="14.25" customHeight="1" spans="2:6">
      <c r="B81" s="137">
        <v>46114</v>
      </c>
      <c r="C81" s="155">
        <v>1789.7</v>
      </c>
      <c r="D81" s="135">
        <f t="shared" si="2"/>
        <v>0.00173213387718607</v>
      </c>
      <c r="E81" s="155">
        <v>22713.1</v>
      </c>
      <c r="F81" s="160">
        <f t="shared" si="3"/>
        <v>0.0112336052762503</v>
      </c>
    </row>
    <row r="82" ht="14.25" customHeight="1" spans="2:6">
      <c r="B82" s="137">
        <v>46113</v>
      </c>
      <c r="C82" s="155">
        <v>1781.9</v>
      </c>
      <c r="D82" s="135">
        <f t="shared" si="2"/>
        <v>0.00437735001964201</v>
      </c>
      <c r="E82" s="155">
        <v>22679.4</v>
      </c>
      <c r="F82" s="160">
        <f t="shared" si="3"/>
        <v>0.00148592996287378</v>
      </c>
    </row>
    <row r="83" ht="14.25" customHeight="1" spans="2:6">
      <c r="B83" s="137">
        <v>46111</v>
      </c>
      <c r="C83" s="155">
        <v>1782.4</v>
      </c>
      <c r="D83" s="135">
        <f t="shared" si="2"/>
        <v>-0.00028052064631956</v>
      </c>
      <c r="E83" s="155">
        <v>22331.4</v>
      </c>
      <c r="F83" s="160">
        <f t="shared" si="3"/>
        <v>0.0155834385663236</v>
      </c>
    </row>
    <row r="84" ht="14.25" customHeight="1" spans="2:6">
      <c r="B84" s="137">
        <v>46108</v>
      </c>
      <c r="C84" s="155">
        <v>1843.9</v>
      </c>
      <c r="D84" s="135">
        <f t="shared" si="2"/>
        <v>-0.0333532187211888</v>
      </c>
      <c r="E84" s="155">
        <v>22819.6</v>
      </c>
      <c r="F84" s="160">
        <f t="shared" si="3"/>
        <v>-0.0213938894634436</v>
      </c>
    </row>
    <row r="85" ht="14.25" customHeight="1" spans="2:6">
      <c r="B85" s="137">
        <v>46106</v>
      </c>
      <c r="C85" s="155">
        <v>1834.9</v>
      </c>
      <c r="D85" s="135">
        <f t="shared" si="2"/>
        <v>0.0049048994495613</v>
      </c>
      <c r="E85" s="155">
        <v>23306.45</v>
      </c>
      <c r="F85" s="160">
        <f t="shared" si="3"/>
        <v>-0.020889067189555</v>
      </c>
    </row>
    <row r="86" ht="14.25" customHeight="1" spans="2:6">
      <c r="B86" s="137">
        <v>46105</v>
      </c>
      <c r="C86" s="155">
        <v>1802.1</v>
      </c>
      <c r="D86" s="135">
        <f t="shared" si="2"/>
        <v>0.0182009877365297</v>
      </c>
      <c r="E86" s="155">
        <v>22912.4</v>
      </c>
      <c r="F86" s="160">
        <f t="shared" si="3"/>
        <v>0.0171981110664967</v>
      </c>
    </row>
    <row r="87" ht="14.25" customHeight="1" spans="2:6">
      <c r="B87" s="137">
        <v>46104</v>
      </c>
      <c r="C87" s="155">
        <v>1795.9</v>
      </c>
      <c r="D87" s="135">
        <f t="shared" si="2"/>
        <v>0.00345230803496843</v>
      </c>
      <c r="E87" s="155">
        <v>22512.65</v>
      </c>
      <c r="F87" s="160">
        <f t="shared" si="3"/>
        <v>0.0177566834646299</v>
      </c>
    </row>
    <row r="88" ht="14.25" customHeight="1" spans="2:6">
      <c r="B88" s="137">
        <v>46101</v>
      </c>
      <c r="C88" s="155">
        <v>1846.1</v>
      </c>
      <c r="D88" s="135">
        <f t="shared" si="2"/>
        <v>-0.0271924597800768</v>
      </c>
      <c r="E88" s="155">
        <v>23114.5</v>
      </c>
      <c r="F88" s="160">
        <f t="shared" si="3"/>
        <v>-0.0260377685002919</v>
      </c>
    </row>
    <row r="89" ht="14.25" customHeight="1" spans="2:6">
      <c r="B89" s="137">
        <v>46100</v>
      </c>
      <c r="C89" s="155">
        <v>1827</v>
      </c>
      <c r="D89" s="135">
        <f t="shared" si="2"/>
        <v>0.0104542966611931</v>
      </c>
      <c r="E89" s="155">
        <v>23002.15</v>
      </c>
      <c r="F89" s="160">
        <f t="shared" si="3"/>
        <v>0.00488432603039279</v>
      </c>
    </row>
    <row r="90" ht="14.25" customHeight="1" spans="2:6">
      <c r="B90" s="137">
        <v>46099</v>
      </c>
      <c r="C90" s="155">
        <v>1855.4</v>
      </c>
      <c r="D90" s="135">
        <f t="shared" si="2"/>
        <v>-0.0153066724156516</v>
      </c>
      <c r="E90" s="155">
        <v>23777.8</v>
      </c>
      <c r="F90" s="160">
        <f t="shared" si="3"/>
        <v>-0.032620763905828</v>
      </c>
    </row>
    <row r="91" ht="14.25" customHeight="1" spans="2:6">
      <c r="B91" s="137">
        <v>46098</v>
      </c>
      <c r="C91" s="155">
        <v>1827</v>
      </c>
      <c r="D91" s="135">
        <f t="shared" si="2"/>
        <v>0.0155446086480571</v>
      </c>
      <c r="E91" s="155">
        <v>23581.15</v>
      </c>
      <c r="F91" s="160">
        <f t="shared" si="3"/>
        <v>0.0083392879482127</v>
      </c>
    </row>
    <row r="92" ht="14.25" customHeight="1" spans="2:6">
      <c r="B92" s="137">
        <v>46097</v>
      </c>
      <c r="C92" s="155">
        <v>1788.8</v>
      </c>
      <c r="D92" s="135">
        <f t="shared" si="2"/>
        <v>0.0213550983899822</v>
      </c>
      <c r="E92" s="155">
        <v>23408.8</v>
      </c>
      <c r="F92" s="160">
        <f t="shared" si="3"/>
        <v>0.007362615768429</v>
      </c>
    </row>
    <row r="93" ht="14.25" customHeight="1" spans="2:6">
      <c r="B93" s="137">
        <v>46094</v>
      </c>
      <c r="C93" s="155">
        <v>1803.4</v>
      </c>
      <c r="D93" s="135">
        <f t="shared" si="2"/>
        <v>-0.00809581900853951</v>
      </c>
      <c r="E93" s="155">
        <v>23151.1</v>
      </c>
      <c r="F93" s="160">
        <f t="shared" si="3"/>
        <v>0.011131220546756</v>
      </c>
    </row>
    <row r="94" ht="14.25" customHeight="1" spans="2:6">
      <c r="B94" s="137">
        <v>46093</v>
      </c>
      <c r="C94" s="155">
        <v>1801.3</v>
      </c>
      <c r="D94" s="135">
        <f t="shared" si="2"/>
        <v>0.00116582468217397</v>
      </c>
      <c r="E94" s="155">
        <v>23639.15</v>
      </c>
      <c r="F94" s="160">
        <f t="shared" si="3"/>
        <v>-0.0206458354044035</v>
      </c>
    </row>
    <row r="95" ht="14.25" customHeight="1" spans="2:6">
      <c r="B95" s="137">
        <v>46092</v>
      </c>
      <c r="C95" s="155">
        <v>1807</v>
      </c>
      <c r="D95" s="135">
        <f t="shared" si="2"/>
        <v>-0.00315439955727725</v>
      </c>
      <c r="E95" s="155">
        <v>23866.85</v>
      </c>
      <c r="F95" s="160">
        <f t="shared" si="3"/>
        <v>-0.00954042950787382</v>
      </c>
    </row>
    <row r="96" ht="14.25" customHeight="1" spans="2:6">
      <c r="B96" s="137">
        <v>46091</v>
      </c>
      <c r="C96" s="155">
        <v>1850.4</v>
      </c>
      <c r="D96" s="135">
        <f t="shared" si="2"/>
        <v>-0.0234543882403805</v>
      </c>
      <c r="E96" s="155">
        <v>24261.6</v>
      </c>
      <c r="F96" s="160">
        <f t="shared" si="3"/>
        <v>-0.0162705674811224</v>
      </c>
    </row>
    <row r="97" ht="14.25" customHeight="1" spans="2:6">
      <c r="B97" s="137">
        <v>46090</v>
      </c>
      <c r="C97" s="155">
        <v>1866.7</v>
      </c>
      <c r="D97" s="135">
        <f t="shared" si="2"/>
        <v>-0.00873198692880484</v>
      </c>
      <c r="E97" s="155">
        <v>24028.05</v>
      </c>
      <c r="F97" s="160">
        <f t="shared" si="3"/>
        <v>0.00971988987870431</v>
      </c>
    </row>
    <row r="98" ht="14.25" customHeight="1" spans="2:6">
      <c r="B98" s="137">
        <v>46087</v>
      </c>
      <c r="C98" s="155">
        <v>1870.8</v>
      </c>
      <c r="D98" s="135">
        <f t="shared" si="2"/>
        <v>-0.00219157579645068</v>
      </c>
      <c r="E98" s="155">
        <v>24450.45</v>
      </c>
      <c r="F98" s="160">
        <f t="shared" si="3"/>
        <v>-0.0172757556609389</v>
      </c>
    </row>
    <row r="99" ht="14.25" customHeight="1" spans="2:6">
      <c r="B99" s="137">
        <v>46086</v>
      </c>
      <c r="C99" s="155">
        <v>1907</v>
      </c>
      <c r="D99" s="135">
        <f t="shared" si="2"/>
        <v>-0.0189826953329838</v>
      </c>
      <c r="E99" s="155">
        <v>24765.9</v>
      </c>
      <c r="F99" s="160">
        <f t="shared" si="3"/>
        <v>-0.0127372718132593</v>
      </c>
    </row>
    <row r="100" ht="14.25" customHeight="1" spans="2:6">
      <c r="B100" s="137">
        <v>46085</v>
      </c>
      <c r="C100" s="155">
        <v>1905.9</v>
      </c>
      <c r="D100" s="135">
        <f t="shared" si="2"/>
        <v>0.000577155149797948</v>
      </c>
      <c r="E100" s="155">
        <v>24480.5</v>
      </c>
      <c r="F100" s="160">
        <f t="shared" si="3"/>
        <v>0.0116582586139991</v>
      </c>
    </row>
    <row r="101" ht="14.25" customHeight="1" spans="2:6">
      <c r="B101" s="137">
        <v>46083</v>
      </c>
      <c r="C101" s="155">
        <v>1873.2</v>
      </c>
      <c r="D101" s="135">
        <f t="shared" si="2"/>
        <v>0.0174567584881486</v>
      </c>
      <c r="E101" s="155">
        <v>24865.7</v>
      </c>
      <c r="F101" s="160">
        <f t="shared" si="3"/>
        <v>-0.0154912188275416</v>
      </c>
    </row>
    <row r="102" ht="14.25" customHeight="1" spans="2:6">
      <c r="B102" s="137">
        <v>46080</v>
      </c>
      <c r="C102" s="155">
        <v>1879.3</v>
      </c>
      <c r="D102" s="135">
        <f t="shared" si="2"/>
        <v>-0.00324588942691428</v>
      </c>
      <c r="E102" s="155">
        <v>25178.65</v>
      </c>
      <c r="F102" s="160">
        <f t="shared" si="3"/>
        <v>-0.0124291810720591</v>
      </c>
    </row>
    <row r="103" ht="14.25" customHeight="1" spans="2:6">
      <c r="B103" s="137">
        <v>46079</v>
      </c>
      <c r="C103" s="155">
        <v>1929.6</v>
      </c>
      <c r="D103" s="135">
        <f t="shared" si="2"/>
        <v>-0.0260675787728026</v>
      </c>
      <c r="E103" s="155">
        <v>25496.55</v>
      </c>
      <c r="F103" s="160">
        <f t="shared" si="3"/>
        <v>-0.0124683535615602</v>
      </c>
    </row>
    <row r="104" ht="14.25" customHeight="1" spans="2:6">
      <c r="B104" s="137">
        <v>46078</v>
      </c>
      <c r="C104" s="155">
        <v>1913.4</v>
      </c>
      <c r="D104" s="135">
        <f t="shared" si="2"/>
        <v>0.00846660395108167</v>
      </c>
      <c r="E104" s="155">
        <v>25482.5</v>
      </c>
      <c r="F104" s="160">
        <f t="shared" si="3"/>
        <v>0.000551358775630284</v>
      </c>
    </row>
    <row r="105" ht="14.25" customHeight="1" spans="2:6">
      <c r="B105" s="137">
        <v>46077</v>
      </c>
      <c r="C105" s="155">
        <v>1941</v>
      </c>
      <c r="D105" s="135">
        <f t="shared" si="2"/>
        <v>-0.0142194744976816</v>
      </c>
      <c r="E105" s="155">
        <v>25424.65</v>
      </c>
      <c r="F105" s="160">
        <f t="shared" si="3"/>
        <v>0.00227535088978614</v>
      </c>
    </row>
    <row r="106" ht="14.25" customHeight="1" spans="2:6">
      <c r="B106" s="137">
        <v>46076</v>
      </c>
      <c r="C106" s="155">
        <v>1997.3</v>
      </c>
      <c r="D106" s="135">
        <f t="shared" si="2"/>
        <v>-0.0281880538727282</v>
      </c>
      <c r="E106" s="155">
        <v>25713</v>
      </c>
      <c r="F106" s="160">
        <f t="shared" si="3"/>
        <v>-0.0112141718197021</v>
      </c>
    </row>
    <row r="107" ht="14.25" customHeight="1" spans="2:6">
      <c r="B107" s="137">
        <v>46073</v>
      </c>
      <c r="C107" s="155">
        <v>1977.4</v>
      </c>
      <c r="D107" s="135">
        <f t="shared" si="2"/>
        <v>0.0100637200364113</v>
      </c>
      <c r="E107" s="155">
        <v>25571.25</v>
      </c>
      <c r="F107" s="160">
        <f t="shared" si="3"/>
        <v>0.00554333479982394</v>
      </c>
    </row>
    <row r="108" ht="14.25" customHeight="1" spans="2:6">
      <c r="B108" s="137">
        <v>46072</v>
      </c>
      <c r="C108" s="155">
        <v>1988.6</v>
      </c>
      <c r="D108" s="135">
        <f t="shared" si="2"/>
        <v>-0.00563210298702599</v>
      </c>
      <c r="E108" s="155">
        <v>25454.35</v>
      </c>
      <c r="F108" s="160">
        <f t="shared" si="3"/>
        <v>0.00459253526411008</v>
      </c>
    </row>
    <row r="109" ht="14.25" customHeight="1" spans="2:6">
      <c r="B109" s="137">
        <v>46071</v>
      </c>
      <c r="C109" s="155">
        <v>2021.8</v>
      </c>
      <c r="D109" s="135">
        <f t="shared" si="2"/>
        <v>-0.0164210109803146</v>
      </c>
      <c r="E109" s="155">
        <v>25819.35</v>
      </c>
      <c r="F109" s="160">
        <f t="shared" si="3"/>
        <v>-0.014136684308474</v>
      </c>
    </row>
    <row r="110" ht="14.25" customHeight="1" spans="2:6">
      <c r="B110" s="137">
        <v>46070</v>
      </c>
      <c r="C110" s="155">
        <v>2020.3</v>
      </c>
      <c r="D110" s="135">
        <f t="shared" si="2"/>
        <v>0.000742463990496489</v>
      </c>
      <c r="E110" s="155">
        <v>25725.4</v>
      </c>
      <c r="F110" s="160">
        <f t="shared" si="3"/>
        <v>0.00365203262145575</v>
      </c>
    </row>
    <row r="111" ht="14.25" customHeight="1" spans="2:6">
      <c r="B111" s="137">
        <v>46069</v>
      </c>
      <c r="C111" s="155">
        <v>2029.4</v>
      </c>
      <c r="D111" s="135">
        <f t="shared" si="2"/>
        <v>-0.00448408396570421</v>
      </c>
      <c r="E111" s="155">
        <v>25682.75</v>
      </c>
      <c r="F111" s="160">
        <f t="shared" si="3"/>
        <v>0.00166064771101238</v>
      </c>
    </row>
    <row r="112" ht="14.25" customHeight="1" spans="2:6">
      <c r="B112" s="137">
        <v>46066</v>
      </c>
      <c r="C112" s="155">
        <v>2004.7</v>
      </c>
      <c r="D112" s="135">
        <f t="shared" si="2"/>
        <v>0.0123210455429741</v>
      </c>
      <c r="E112" s="155">
        <v>25471.1</v>
      </c>
      <c r="F112" s="160">
        <f t="shared" si="3"/>
        <v>0.00830941733965163</v>
      </c>
    </row>
    <row r="113" ht="14.25" customHeight="1" spans="2:6">
      <c r="B113" s="137">
        <v>46065</v>
      </c>
      <c r="C113" s="155">
        <v>2014.5</v>
      </c>
      <c r="D113" s="135">
        <f t="shared" si="2"/>
        <v>-0.00486473070240756</v>
      </c>
      <c r="E113" s="155">
        <v>25807.2</v>
      </c>
      <c r="F113" s="160">
        <f t="shared" si="3"/>
        <v>-0.0130234973185779</v>
      </c>
    </row>
    <row r="114" ht="14.25" customHeight="1" spans="2:6">
      <c r="B114" s="137">
        <v>46064</v>
      </c>
      <c r="C114" s="155">
        <v>2012.1</v>
      </c>
      <c r="D114" s="135">
        <f t="shared" si="2"/>
        <v>0.00119278365886388</v>
      </c>
      <c r="E114" s="155">
        <v>25953.85</v>
      </c>
      <c r="F114" s="160">
        <f t="shared" si="3"/>
        <v>-0.00565041410041278</v>
      </c>
    </row>
    <row r="115" ht="14.25" customHeight="1" spans="2:6">
      <c r="B115" s="137">
        <v>46063</v>
      </c>
      <c r="C115" s="155">
        <v>2011.3</v>
      </c>
      <c r="D115" s="135">
        <f t="shared" si="2"/>
        <v>0.000397752697260501</v>
      </c>
      <c r="E115" s="155">
        <v>25935.15</v>
      </c>
      <c r="F115" s="160">
        <f t="shared" si="3"/>
        <v>0.00072102918240291</v>
      </c>
    </row>
    <row r="116" ht="14.25" customHeight="1" spans="2:6">
      <c r="B116" s="137">
        <v>46062</v>
      </c>
      <c r="C116" s="155">
        <v>2038.2</v>
      </c>
      <c r="D116" s="135">
        <f t="shared" si="2"/>
        <v>-0.0131979197330979</v>
      </c>
      <c r="E116" s="155">
        <v>25867.3</v>
      </c>
      <c r="F116" s="160">
        <f t="shared" si="3"/>
        <v>0.00262300278730287</v>
      </c>
    </row>
    <row r="117" ht="14.25" customHeight="1" spans="2:6">
      <c r="B117" s="137">
        <v>46059</v>
      </c>
      <c r="C117" s="155">
        <v>2038.4</v>
      </c>
      <c r="D117" s="135">
        <f t="shared" si="2"/>
        <v>-9.81161695448041e-5</v>
      </c>
      <c r="E117" s="155">
        <v>25693.7</v>
      </c>
      <c r="F117" s="160">
        <f t="shared" si="3"/>
        <v>0.00675652008079797</v>
      </c>
    </row>
    <row r="118" ht="14.25" customHeight="1" spans="2:6">
      <c r="B118" s="137">
        <v>46058</v>
      </c>
      <c r="C118" s="155">
        <v>1992.4</v>
      </c>
      <c r="D118" s="135">
        <f t="shared" si="2"/>
        <v>0.0230877333868702</v>
      </c>
      <c r="E118" s="155">
        <v>25642.8</v>
      </c>
      <c r="F118" s="160">
        <f t="shared" si="3"/>
        <v>0.00198496264058523</v>
      </c>
    </row>
    <row r="119" ht="14.25" customHeight="1" spans="2:6">
      <c r="B119" s="137">
        <v>46057</v>
      </c>
      <c r="C119" s="155">
        <v>2025.8</v>
      </c>
      <c r="D119" s="135">
        <f t="shared" si="2"/>
        <v>-0.016487313653865</v>
      </c>
      <c r="E119" s="155">
        <v>25776</v>
      </c>
      <c r="F119" s="160">
        <f t="shared" si="3"/>
        <v>-0.00516759776536313</v>
      </c>
    </row>
    <row r="120" ht="14.25" customHeight="1" spans="2:6">
      <c r="B120" s="137">
        <v>46056</v>
      </c>
      <c r="C120" s="155">
        <v>1997.3</v>
      </c>
      <c r="D120" s="135">
        <f t="shared" si="2"/>
        <v>0.0142692635057327</v>
      </c>
      <c r="E120" s="155">
        <v>25727.55</v>
      </c>
      <c r="F120" s="160">
        <f t="shared" si="3"/>
        <v>0.0018831952517826</v>
      </c>
    </row>
    <row r="121" ht="14.25" customHeight="1" spans="2:6">
      <c r="B121" s="137">
        <v>46055</v>
      </c>
      <c r="C121" s="155">
        <v>1965.4</v>
      </c>
      <c r="D121" s="135">
        <f t="shared" si="2"/>
        <v>0.0162307927139513</v>
      </c>
      <c r="E121" s="155">
        <v>25088.4</v>
      </c>
      <c r="F121" s="160">
        <f t="shared" si="3"/>
        <v>0.025475917156933</v>
      </c>
    </row>
    <row r="122" ht="14.25" customHeight="1" spans="2:6">
      <c r="B122" s="137">
        <v>46054</v>
      </c>
      <c r="C122" s="155">
        <v>1949</v>
      </c>
      <c r="D122" s="135">
        <f t="shared" si="2"/>
        <v>0.0084145715751669</v>
      </c>
      <c r="E122" s="155">
        <v>24825.45</v>
      </c>
      <c r="F122" s="160">
        <f t="shared" si="3"/>
        <v>0.0105919530159575</v>
      </c>
    </row>
    <row r="123" ht="14.25" customHeight="1" spans="2:6">
      <c r="B123" s="137">
        <v>46052</v>
      </c>
      <c r="C123" s="155">
        <v>1968.7</v>
      </c>
      <c r="D123" s="135">
        <f t="shared" si="2"/>
        <v>-0.0100066033423071</v>
      </c>
      <c r="E123" s="155">
        <v>25320.65</v>
      </c>
      <c r="F123" s="160">
        <f t="shared" si="3"/>
        <v>-0.0195571598675389</v>
      </c>
    </row>
    <row r="124" ht="14.25" customHeight="1" spans="2:6">
      <c r="B124" s="137">
        <v>46051</v>
      </c>
      <c r="C124" s="155">
        <v>1967.9</v>
      </c>
      <c r="D124" s="135">
        <f t="shared" si="2"/>
        <v>0.000406524721784596</v>
      </c>
      <c r="E124" s="155">
        <v>25418.9</v>
      </c>
      <c r="F124" s="160">
        <f t="shared" si="3"/>
        <v>-0.00386523413680373</v>
      </c>
    </row>
    <row r="125" ht="14.25" customHeight="1" spans="2:6">
      <c r="B125" s="137">
        <v>46050</v>
      </c>
      <c r="C125" s="155">
        <v>1957.7</v>
      </c>
      <c r="D125" s="135">
        <f t="shared" si="2"/>
        <v>0.00521019563773817</v>
      </c>
      <c r="E125" s="155">
        <v>25342.75</v>
      </c>
      <c r="F125" s="160">
        <f t="shared" si="3"/>
        <v>0.00300480413530502</v>
      </c>
    </row>
    <row r="126" ht="14.25" customHeight="1" spans="2:6">
      <c r="B126" s="137">
        <v>46049</v>
      </c>
      <c r="C126" s="155">
        <v>1973.4</v>
      </c>
      <c r="D126" s="135">
        <f t="shared" si="2"/>
        <v>-0.0079558123036384</v>
      </c>
      <c r="E126" s="155">
        <v>25175.4</v>
      </c>
      <c r="F126" s="160">
        <f t="shared" si="3"/>
        <v>0.00664736210745409</v>
      </c>
    </row>
    <row r="127" ht="14.25" customHeight="1" spans="2:6">
      <c r="B127" s="137">
        <v>46045</v>
      </c>
      <c r="C127" s="155">
        <v>1984.7</v>
      </c>
      <c r="D127" s="135">
        <f t="shared" si="2"/>
        <v>-0.00569355570111352</v>
      </c>
      <c r="E127" s="155">
        <v>25048.65</v>
      </c>
      <c r="F127" s="160">
        <f t="shared" si="3"/>
        <v>0.00506015294237416</v>
      </c>
    </row>
    <row r="128" ht="14.25" customHeight="1" spans="2:6">
      <c r="B128" s="137">
        <v>46044</v>
      </c>
      <c r="C128" s="155">
        <v>2002.2</v>
      </c>
      <c r="D128" s="135">
        <f t="shared" si="2"/>
        <v>-0.00874038557586654</v>
      </c>
      <c r="E128" s="155">
        <v>25289.9</v>
      </c>
      <c r="F128" s="160">
        <f t="shared" si="3"/>
        <v>-0.0095393813340503</v>
      </c>
    </row>
    <row r="129" ht="14.25" customHeight="1" spans="2:6">
      <c r="B129" s="137">
        <v>46043</v>
      </c>
      <c r="C129" s="155">
        <v>1996.1</v>
      </c>
      <c r="D129" s="135">
        <f t="shared" si="2"/>
        <v>0.00305595912028456</v>
      </c>
      <c r="E129" s="155">
        <v>25157.5</v>
      </c>
      <c r="F129" s="160">
        <f t="shared" si="3"/>
        <v>0.00526284408228173</v>
      </c>
    </row>
    <row r="130" ht="14.25" customHeight="1" spans="2:6">
      <c r="B130" s="137">
        <v>46042</v>
      </c>
      <c r="C130" s="155">
        <v>1996</v>
      </c>
      <c r="D130" s="135">
        <f t="shared" si="2"/>
        <v>5.01002004007489e-5</v>
      </c>
      <c r="E130" s="155">
        <v>25232.5</v>
      </c>
      <c r="F130" s="160">
        <f t="shared" si="3"/>
        <v>-0.00297235707916377</v>
      </c>
    </row>
    <row r="131" ht="14.25" customHeight="1" spans="2:6">
      <c r="B131" s="137">
        <v>46041</v>
      </c>
      <c r="C131" s="155">
        <v>2010</v>
      </c>
      <c r="D131" s="135">
        <f t="shared" si="2"/>
        <v>-0.00696517412935327</v>
      </c>
      <c r="E131" s="155">
        <v>25585.5</v>
      </c>
      <c r="F131" s="160">
        <f t="shared" si="3"/>
        <v>-0.0137968771374412</v>
      </c>
    </row>
    <row r="132" ht="14.25" customHeight="1" spans="2:6">
      <c r="B132" s="137">
        <v>46038</v>
      </c>
      <c r="C132" s="155">
        <v>2016.4</v>
      </c>
      <c r="D132" s="135">
        <f t="shared" si="2"/>
        <v>-0.00317397341797265</v>
      </c>
      <c r="E132" s="155">
        <v>25694.35</v>
      </c>
      <c r="F132" s="160">
        <f t="shared" si="3"/>
        <v>-0.0042363398957358</v>
      </c>
    </row>
    <row r="133" ht="14.25" customHeight="1" spans="2:6">
      <c r="B133" s="137">
        <v>46036</v>
      </c>
      <c r="C133" s="155">
        <v>2022.5</v>
      </c>
      <c r="D133" s="135">
        <f t="shared" si="2"/>
        <v>-0.00301606922126074</v>
      </c>
      <c r="E133" s="155">
        <v>25665.6</v>
      </c>
      <c r="F133" s="160">
        <f t="shared" si="3"/>
        <v>0.00112017642291629</v>
      </c>
    </row>
    <row r="134" ht="14.25" customHeight="1" spans="2:6">
      <c r="B134" s="137">
        <v>46035</v>
      </c>
      <c r="C134" s="155">
        <v>2026.9</v>
      </c>
      <c r="D134" s="135">
        <f t="shared" si="2"/>
        <v>-0.00217080270363612</v>
      </c>
      <c r="E134" s="155">
        <v>25732.3</v>
      </c>
      <c r="F134" s="160">
        <f t="shared" si="3"/>
        <v>-0.00259207299774988</v>
      </c>
    </row>
    <row r="135" ht="14.25" customHeight="1" spans="2:6">
      <c r="B135" s="137">
        <v>46034</v>
      </c>
      <c r="C135" s="155">
        <v>2044</v>
      </c>
      <c r="D135" s="135">
        <f t="shared" si="2"/>
        <v>-0.00836594911937372</v>
      </c>
      <c r="E135" s="155">
        <v>25790.25</v>
      </c>
      <c r="F135" s="160">
        <f t="shared" si="3"/>
        <v>-0.00224697317784828</v>
      </c>
    </row>
    <row r="136" ht="14.25" customHeight="1" spans="2:6">
      <c r="B136" s="137">
        <v>46031</v>
      </c>
      <c r="C136" s="155">
        <v>2027.1</v>
      </c>
      <c r="D136" s="135">
        <f t="shared" si="2"/>
        <v>0.00833703320013823</v>
      </c>
      <c r="E136" s="155">
        <v>25683.3</v>
      </c>
      <c r="F136" s="160">
        <f t="shared" si="3"/>
        <v>0.00416418450900014</v>
      </c>
    </row>
    <row r="137" ht="14.25" customHeight="1" spans="2:6">
      <c r="B137" s="137">
        <v>46030</v>
      </c>
      <c r="C137" s="155">
        <v>2066.3</v>
      </c>
      <c r="D137" s="135">
        <f t="shared" ref="D137:D200" si="4">C136/C137-1</f>
        <v>-0.0189711077771864</v>
      </c>
      <c r="E137" s="155">
        <v>25876.85</v>
      </c>
      <c r="F137" s="160">
        <f t="shared" ref="F137:F200" si="5">E136/E137-1</f>
        <v>-0.00747965845920195</v>
      </c>
    </row>
    <row r="138" ht="14.25" customHeight="1" spans="2:6">
      <c r="B138" s="137">
        <v>46029</v>
      </c>
      <c r="C138" s="155">
        <v>2084.2</v>
      </c>
      <c r="D138" s="135">
        <f t="shared" si="4"/>
        <v>-0.00858842721427866</v>
      </c>
      <c r="E138" s="155">
        <v>26140.75</v>
      </c>
      <c r="F138" s="160">
        <f t="shared" si="5"/>
        <v>-0.0100953492153056</v>
      </c>
    </row>
    <row r="139" ht="14.25" customHeight="1" spans="2:6">
      <c r="B139" s="137">
        <v>46028</v>
      </c>
      <c r="C139" s="155">
        <v>2105.3</v>
      </c>
      <c r="D139" s="135">
        <f t="shared" si="4"/>
        <v>-0.0100223246093195</v>
      </c>
      <c r="E139" s="155">
        <v>26178.7</v>
      </c>
      <c r="F139" s="160">
        <f t="shared" si="5"/>
        <v>-0.00144965181617118</v>
      </c>
    </row>
    <row r="140" ht="14.25" customHeight="1" spans="2:6">
      <c r="B140" s="137">
        <v>46027</v>
      </c>
      <c r="C140" s="155">
        <v>2105</v>
      </c>
      <c r="D140" s="135">
        <f t="shared" si="4"/>
        <v>0.000142517814726961</v>
      </c>
      <c r="E140" s="155">
        <v>26250.3</v>
      </c>
      <c r="F140" s="160">
        <f t="shared" si="5"/>
        <v>-0.00272758787518612</v>
      </c>
    </row>
    <row r="141" ht="14.25" customHeight="1" spans="2:6">
      <c r="B141" s="137">
        <v>46024</v>
      </c>
      <c r="C141" s="155">
        <v>2106.3</v>
      </c>
      <c r="D141" s="135">
        <f t="shared" si="4"/>
        <v>-0.000617196030954892</v>
      </c>
      <c r="E141" s="155">
        <v>26328.55</v>
      </c>
      <c r="F141" s="160">
        <f t="shared" si="5"/>
        <v>-0.00297205884866425</v>
      </c>
    </row>
    <row r="142" ht="14.25" customHeight="1" spans="2:6">
      <c r="B142" s="137">
        <v>46023</v>
      </c>
      <c r="C142" s="155">
        <v>2110.4</v>
      </c>
      <c r="D142" s="135">
        <f t="shared" si="4"/>
        <v>-0.00194275966641388</v>
      </c>
      <c r="E142" s="155">
        <v>26146.55</v>
      </c>
      <c r="F142" s="160">
        <f t="shared" si="5"/>
        <v>0.00696076537822399</v>
      </c>
    </row>
    <row r="143" ht="14.25" customHeight="1" spans="2:6">
      <c r="B143" s="137">
        <v>46022</v>
      </c>
      <c r="C143" s="155">
        <v>2105.6</v>
      </c>
      <c r="D143" s="135">
        <f t="shared" si="4"/>
        <v>0.00227963525835873</v>
      </c>
      <c r="E143" s="155">
        <v>26129.6</v>
      </c>
      <c r="F143" s="160">
        <f t="shared" si="5"/>
        <v>0.000648689608719666</v>
      </c>
    </row>
    <row r="144" ht="14.25" customHeight="1" spans="2:6">
      <c r="B144" s="137">
        <v>46021</v>
      </c>
      <c r="C144" s="155">
        <v>2099.8</v>
      </c>
      <c r="D144" s="135">
        <f t="shared" si="4"/>
        <v>0.00276216782550698</v>
      </c>
      <c r="E144" s="155">
        <v>25938.85</v>
      </c>
      <c r="F144" s="160">
        <f t="shared" si="5"/>
        <v>0.00735383411369428</v>
      </c>
    </row>
    <row r="145" ht="14.25" customHeight="1" spans="2:6">
      <c r="B145" s="137">
        <v>46020</v>
      </c>
      <c r="C145" s="155">
        <v>2081.6</v>
      </c>
      <c r="D145" s="135">
        <f t="shared" si="4"/>
        <v>0.00874327440430456</v>
      </c>
      <c r="E145" s="155">
        <v>25942.1</v>
      </c>
      <c r="F145" s="160">
        <f t="shared" si="5"/>
        <v>-0.000125278986666477</v>
      </c>
    </row>
    <row r="146" ht="14.25" customHeight="1" spans="2:6">
      <c r="B146" s="137">
        <v>46017</v>
      </c>
      <c r="C146" s="155">
        <v>2105.4</v>
      </c>
      <c r="D146" s="135">
        <f t="shared" si="4"/>
        <v>-0.0113042652227606</v>
      </c>
      <c r="E146" s="155">
        <v>26042.3</v>
      </c>
      <c r="F146" s="160">
        <f t="shared" si="5"/>
        <v>-0.00384758642669814</v>
      </c>
    </row>
    <row r="147" ht="14.25" customHeight="1" spans="2:6">
      <c r="B147" s="137">
        <v>46015</v>
      </c>
      <c r="C147" s="155">
        <v>2123.7</v>
      </c>
      <c r="D147" s="135">
        <f t="shared" si="4"/>
        <v>-0.00861703630456268</v>
      </c>
      <c r="E147" s="155">
        <v>26142.1</v>
      </c>
      <c r="F147" s="160">
        <f t="shared" si="5"/>
        <v>-0.0038175969030797</v>
      </c>
    </row>
    <row r="148" ht="14.25" customHeight="1" spans="2:6">
      <c r="B148" s="137">
        <v>46014</v>
      </c>
      <c r="C148" s="155">
        <v>2122.9</v>
      </c>
      <c r="D148" s="135">
        <f t="shared" si="4"/>
        <v>0.000376842997785953</v>
      </c>
      <c r="E148" s="155">
        <v>26177.15</v>
      </c>
      <c r="F148" s="160">
        <f t="shared" si="5"/>
        <v>-0.00133895401141848</v>
      </c>
    </row>
    <row r="149" ht="14.25" customHeight="1" spans="2:6">
      <c r="B149" s="137">
        <v>46013</v>
      </c>
      <c r="C149" s="155">
        <v>2147.6</v>
      </c>
      <c r="D149" s="135">
        <f t="shared" si="4"/>
        <v>-0.011501210653753</v>
      </c>
      <c r="E149" s="155">
        <v>26172.4</v>
      </c>
      <c r="F149" s="160">
        <f t="shared" si="5"/>
        <v>0.000181488896700444</v>
      </c>
    </row>
    <row r="150" ht="14.25" customHeight="1" spans="2:6">
      <c r="B150" s="137">
        <v>46010</v>
      </c>
      <c r="C150" s="155">
        <v>2097.7</v>
      </c>
      <c r="D150" s="135">
        <f t="shared" si="4"/>
        <v>0.0237879582399771</v>
      </c>
      <c r="E150" s="155">
        <v>25966.4</v>
      </c>
      <c r="F150" s="160">
        <f t="shared" si="5"/>
        <v>0.00793332922546064</v>
      </c>
    </row>
    <row r="151" ht="14.25" customHeight="1" spans="2:6">
      <c r="B151" s="137">
        <v>46009</v>
      </c>
      <c r="C151" s="155">
        <v>2092</v>
      </c>
      <c r="D151" s="135">
        <f t="shared" si="4"/>
        <v>0.00272466539196925</v>
      </c>
      <c r="E151" s="155">
        <v>25815.55</v>
      </c>
      <c r="F151" s="160">
        <f t="shared" si="5"/>
        <v>0.0058433773442752</v>
      </c>
    </row>
    <row r="152" ht="14.25" customHeight="1" spans="2:6">
      <c r="B152" s="137">
        <v>46008</v>
      </c>
      <c r="C152" s="155">
        <v>2108</v>
      </c>
      <c r="D152" s="135">
        <f t="shared" si="4"/>
        <v>-0.00759013282732446</v>
      </c>
      <c r="E152" s="155">
        <v>25818.55</v>
      </c>
      <c r="F152" s="160">
        <f t="shared" si="5"/>
        <v>-0.000116195526084883</v>
      </c>
    </row>
    <row r="153" ht="14.25" customHeight="1" spans="2:6">
      <c r="B153" s="137">
        <v>46007</v>
      </c>
      <c r="C153" s="155">
        <v>2102</v>
      </c>
      <c r="D153" s="135">
        <f t="shared" si="4"/>
        <v>0.00285442435775463</v>
      </c>
      <c r="E153" s="155">
        <v>25860.1</v>
      </c>
      <c r="F153" s="160">
        <f t="shared" si="5"/>
        <v>-0.00160672232512638</v>
      </c>
    </row>
    <row r="154" ht="14.25" customHeight="1" spans="2:6">
      <c r="B154" s="137">
        <v>46006</v>
      </c>
      <c r="C154" s="155">
        <v>2069.7</v>
      </c>
      <c r="D154" s="135">
        <f t="shared" si="4"/>
        <v>0.0156061264917622</v>
      </c>
      <c r="E154" s="155">
        <v>26027.3</v>
      </c>
      <c r="F154" s="160">
        <f t="shared" si="5"/>
        <v>-0.00642402400556341</v>
      </c>
    </row>
    <row r="155" ht="14.25" customHeight="1" spans="2:6">
      <c r="B155" s="137">
        <v>46003</v>
      </c>
      <c r="C155" s="155">
        <v>2083.4</v>
      </c>
      <c r="D155" s="135">
        <f t="shared" si="4"/>
        <v>-0.0065757895747337</v>
      </c>
      <c r="E155" s="155">
        <v>26046.95</v>
      </c>
      <c r="F155" s="160">
        <f t="shared" si="5"/>
        <v>-0.000754406945918884</v>
      </c>
    </row>
    <row r="156" ht="14.25" customHeight="1" spans="2:6">
      <c r="B156" s="137">
        <v>46002</v>
      </c>
      <c r="C156" s="155">
        <v>2053.2</v>
      </c>
      <c r="D156" s="135">
        <f t="shared" si="4"/>
        <v>0.0147087473212548</v>
      </c>
      <c r="E156" s="155">
        <v>25898.55</v>
      </c>
      <c r="F156" s="160">
        <f t="shared" si="5"/>
        <v>0.00573005052406406</v>
      </c>
    </row>
    <row r="157" ht="14.25" customHeight="1" spans="2:6">
      <c r="B157" s="137">
        <v>46001</v>
      </c>
      <c r="C157" s="155">
        <v>2067</v>
      </c>
      <c r="D157" s="135">
        <f t="shared" si="4"/>
        <v>-0.00667634252539917</v>
      </c>
      <c r="E157" s="155">
        <v>25758</v>
      </c>
      <c r="F157" s="160">
        <f t="shared" si="5"/>
        <v>0.00545655718611693</v>
      </c>
    </row>
    <row r="158" ht="14.25" customHeight="1" spans="2:6">
      <c r="B158" s="137">
        <v>46000</v>
      </c>
      <c r="C158" s="155">
        <v>2089.7</v>
      </c>
      <c r="D158" s="135">
        <f t="shared" si="4"/>
        <v>-0.010862803273197</v>
      </c>
      <c r="E158" s="155">
        <v>25839.65</v>
      </c>
      <c r="F158" s="160">
        <f t="shared" si="5"/>
        <v>-0.00315987252149319</v>
      </c>
    </row>
    <row r="159" ht="14.25" customHeight="1" spans="2:6">
      <c r="B159" s="137">
        <v>45999</v>
      </c>
      <c r="C159" s="155">
        <v>2086.2</v>
      </c>
      <c r="D159" s="135">
        <f t="shared" si="4"/>
        <v>0.00167769149650088</v>
      </c>
      <c r="E159" s="155">
        <v>25960.55</v>
      </c>
      <c r="F159" s="160">
        <f t="shared" si="5"/>
        <v>-0.00465706620237238</v>
      </c>
    </row>
    <row r="160" ht="14.25" customHeight="1" spans="2:6">
      <c r="B160" s="137">
        <v>45996</v>
      </c>
      <c r="C160" s="155">
        <v>2108.8</v>
      </c>
      <c r="D160" s="135">
        <f t="shared" si="4"/>
        <v>-0.0107169954476481</v>
      </c>
      <c r="E160" s="155">
        <v>26186.45</v>
      </c>
      <c r="F160" s="160">
        <f t="shared" si="5"/>
        <v>-0.00862659887079009</v>
      </c>
    </row>
    <row r="161" ht="14.25" customHeight="1" spans="2:6">
      <c r="B161" s="137">
        <v>45995</v>
      </c>
      <c r="C161" s="155">
        <v>2103.8</v>
      </c>
      <c r="D161" s="135">
        <f t="shared" si="4"/>
        <v>0.00237665177298219</v>
      </c>
      <c r="E161" s="155">
        <v>26033.75</v>
      </c>
      <c r="F161" s="160">
        <f t="shared" si="5"/>
        <v>0.00586546310078262</v>
      </c>
    </row>
    <row r="162" ht="14.25" customHeight="1" spans="2:6">
      <c r="B162" s="137">
        <v>45994</v>
      </c>
      <c r="C162" s="155">
        <v>2086</v>
      </c>
      <c r="D162" s="135">
        <f t="shared" si="4"/>
        <v>0.00853307766059452</v>
      </c>
      <c r="E162" s="155">
        <v>25986</v>
      </c>
      <c r="F162" s="160">
        <f t="shared" si="5"/>
        <v>0.00183752789963831</v>
      </c>
    </row>
    <row r="163" ht="14.25" customHeight="1" spans="2:6">
      <c r="B163" s="137">
        <v>45993</v>
      </c>
      <c r="C163" s="155">
        <v>2104</v>
      </c>
      <c r="D163" s="135">
        <f t="shared" si="4"/>
        <v>-0.0085551330798479</v>
      </c>
      <c r="E163" s="155">
        <v>26032.2</v>
      </c>
      <c r="F163" s="160">
        <f t="shared" si="5"/>
        <v>-0.00177472514808585</v>
      </c>
    </row>
    <row r="164" ht="14.25" customHeight="1" spans="2:6">
      <c r="B164" s="137">
        <v>45992</v>
      </c>
      <c r="C164" s="155">
        <v>2089.7</v>
      </c>
      <c r="D164" s="135">
        <f t="shared" si="4"/>
        <v>0.00684308752452512</v>
      </c>
      <c r="E164" s="155">
        <v>26175.75</v>
      </c>
      <c r="F164" s="160">
        <f t="shared" si="5"/>
        <v>-0.00548408355061458</v>
      </c>
    </row>
    <row r="165" ht="14.25" customHeight="1" spans="2:6">
      <c r="B165" s="137">
        <v>45989</v>
      </c>
      <c r="C165" s="155">
        <v>2101.6</v>
      </c>
      <c r="D165" s="135">
        <f t="shared" si="4"/>
        <v>-0.00566235249333846</v>
      </c>
      <c r="E165" s="155">
        <v>26202.95</v>
      </c>
      <c r="F165" s="160">
        <f t="shared" si="5"/>
        <v>-0.00103805105913646</v>
      </c>
    </row>
    <row r="166" ht="14.25" customHeight="1" spans="2:6">
      <c r="B166" s="137">
        <v>45988</v>
      </c>
      <c r="C166" s="155">
        <v>2115.6</v>
      </c>
      <c r="D166" s="135">
        <f t="shared" si="4"/>
        <v>-0.00661750803554551</v>
      </c>
      <c r="E166" s="155">
        <v>26215.55</v>
      </c>
      <c r="F166" s="160">
        <f t="shared" si="5"/>
        <v>-0.000480630770668511</v>
      </c>
    </row>
    <row r="167" ht="14.25" customHeight="1" spans="2:6">
      <c r="B167" s="137">
        <v>45987</v>
      </c>
      <c r="C167" s="155">
        <v>2126.8</v>
      </c>
      <c r="D167" s="135">
        <f t="shared" si="4"/>
        <v>-0.00526612751551636</v>
      </c>
      <c r="E167" s="155">
        <v>26205.3</v>
      </c>
      <c r="F167" s="160">
        <f t="shared" si="5"/>
        <v>0.000391142249850152</v>
      </c>
    </row>
    <row r="168" ht="14.25" customHeight="1" spans="2:6">
      <c r="B168" s="137">
        <v>45986</v>
      </c>
      <c r="C168" s="155">
        <v>2161.6</v>
      </c>
      <c r="D168" s="135">
        <f t="shared" si="4"/>
        <v>-0.0160991857883048</v>
      </c>
      <c r="E168" s="155">
        <v>25884.8</v>
      </c>
      <c r="F168" s="160">
        <f t="shared" si="5"/>
        <v>0.0123817839040672</v>
      </c>
    </row>
    <row r="169" ht="14.25" customHeight="1" spans="2:6">
      <c r="B169" s="137">
        <v>45985</v>
      </c>
      <c r="C169" s="155">
        <v>2152.1</v>
      </c>
      <c r="D169" s="135">
        <f t="shared" si="4"/>
        <v>0.00441429301612373</v>
      </c>
      <c r="E169" s="155">
        <v>25959.5</v>
      </c>
      <c r="F169" s="160">
        <f t="shared" si="5"/>
        <v>-0.00287755927502453</v>
      </c>
    </row>
    <row r="170" ht="14.25" customHeight="1" spans="2:6">
      <c r="B170" s="137">
        <v>45982</v>
      </c>
      <c r="C170" s="155">
        <v>2162.7</v>
      </c>
      <c r="D170" s="135">
        <f t="shared" si="4"/>
        <v>-0.0049012808063994</v>
      </c>
      <c r="E170" s="155">
        <v>26068.15</v>
      </c>
      <c r="F170" s="160">
        <f t="shared" si="5"/>
        <v>-0.00416792139066258</v>
      </c>
    </row>
    <row r="171" ht="14.25" customHeight="1" spans="2:6">
      <c r="B171" s="137">
        <v>45981</v>
      </c>
      <c r="C171" s="155">
        <v>2158.3</v>
      </c>
      <c r="D171" s="135">
        <f t="shared" si="4"/>
        <v>0.00203864152342104</v>
      </c>
      <c r="E171" s="155">
        <v>26192.15</v>
      </c>
      <c r="F171" s="160">
        <f t="shared" si="5"/>
        <v>-0.00473424289338598</v>
      </c>
    </row>
    <row r="172" ht="14.25" customHeight="1" spans="2:6">
      <c r="B172" s="137">
        <v>45980</v>
      </c>
      <c r="C172" s="155">
        <v>2159.8</v>
      </c>
      <c r="D172" s="135">
        <f t="shared" si="4"/>
        <v>-0.00069450875081023</v>
      </c>
      <c r="E172" s="155">
        <v>26052.65</v>
      </c>
      <c r="F172" s="160">
        <f t="shared" si="5"/>
        <v>0.00535454166850591</v>
      </c>
    </row>
    <row r="173" ht="14.25" customHeight="1" spans="2:6">
      <c r="B173" s="137">
        <v>45979</v>
      </c>
      <c r="C173" s="155">
        <v>2149.2</v>
      </c>
      <c r="D173" s="135">
        <f t="shared" si="4"/>
        <v>0.00493206774613819</v>
      </c>
      <c r="E173" s="155">
        <v>25910.05</v>
      </c>
      <c r="F173" s="160">
        <f t="shared" si="5"/>
        <v>0.00550365591729851</v>
      </c>
    </row>
    <row r="174" ht="14.25" customHeight="1" spans="2:6">
      <c r="B174" s="137">
        <v>45978</v>
      </c>
      <c r="C174" s="155">
        <v>2112.2</v>
      </c>
      <c r="D174" s="135">
        <f t="shared" si="4"/>
        <v>0.017517280560553</v>
      </c>
      <c r="E174" s="155">
        <v>26013.45</v>
      </c>
      <c r="F174" s="160">
        <f t="shared" si="5"/>
        <v>-0.00397486684772685</v>
      </c>
    </row>
    <row r="175" ht="14.25" customHeight="1" spans="2:6">
      <c r="B175" s="137">
        <v>45975</v>
      </c>
      <c r="C175" s="155">
        <v>2100.7</v>
      </c>
      <c r="D175" s="135">
        <f t="shared" si="4"/>
        <v>0.00547436568762794</v>
      </c>
      <c r="E175" s="155">
        <v>25910.05</v>
      </c>
      <c r="F175" s="160">
        <f t="shared" si="5"/>
        <v>0.00399072946597956</v>
      </c>
    </row>
    <row r="176" ht="14.25" customHeight="1" spans="2:6">
      <c r="B176" s="137">
        <v>45974</v>
      </c>
      <c r="C176" s="155">
        <v>2091.8</v>
      </c>
      <c r="D176" s="135">
        <f t="shared" si="4"/>
        <v>0.00425470886317991</v>
      </c>
      <c r="E176" s="155">
        <v>25879.15</v>
      </c>
      <c r="F176" s="160">
        <f t="shared" si="5"/>
        <v>0.00119401139527375</v>
      </c>
    </row>
    <row r="177" ht="14.25" customHeight="1" spans="2:6">
      <c r="B177" s="137">
        <v>45973</v>
      </c>
      <c r="C177" s="155">
        <v>2073.8</v>
      </c>
      <c r="D177" s="135">
        <f t="shared" si="4"/>
        <v>0.00867971839135895</v>
      </c>
      <c r="E177" s="155">
        <v>25875.8</v>
      </c>
      <c r="F177" s="160">
        <f t="shared" si="5"/>
        <v>0.000129464596263729</v>
      </c>
    </row>
    <row r="178" ht="14.25" customHeight="1" spans="2:6">
      <c r="B178" s="137">
        <v>45972</v>
      </c>
      <c r="C178" s="155">
        <v>2042.3</v>
      </c>
      <c r="D178" s="135">
        <f t="shared" si="4"/>
        <v>0.0154237869069187</v>
      </c>
      <c r="E178" s="155">
        <v>25694.95</v>
      </c>
      <c r="F178" s="160">
        <f t="shared" si="5"/>
        <v>0.0070383480022338</v>
      </c>
    </row>
    <row r="179" ht="14.25" customHeight="1" spans="2:6">
      <c r="B179" s="137">
        <v>45971</v>
      </c>
      <c r="C179" s="155">
        <v>2019.8</v>
      </c>
      <c r="D179" s="135">
        <f t="shared" si="4"/>
        <v>0.011139716803644</v>
      </c>
      <c r="E179" s="155">
        <v>25574.35</v>
      </c>
      <c r="F179" s="160">
        <f t="shared" si="5"/>
        <v>0.00471566237265075</v>
      </c>
    </row>
    <row r="180" ht="14.25" customHeight="1" spans="2:6">
      <c r="B180" s="137">
        <v>45968</v>
      </c>
      <c r="C180" s="155">
        <v>2001.2</v>
      </c>
      <c r="D180" s="135">
        <f t="shared" si="4"/>
        <v>0.0092944233459924</v>
      </c>
      <c r="E180" s="155">
        <v>25492.3</v>
      </c>
      <c r="F180" s="160">
        <f t="shared" si="5"/>
        <v>0.00321861895552766</v>
      </c>
    </row>
    <row r="181" ht="14.25" customHeight="1" spans="2:6">
      <c r="B181" s="137">
        <v>45967</v>
      </c>
      <c r="C181" s="155">
        <v>2094.9</v>
      </c>
      <c r="D181" s="135">
        <f t="shared" si="4"/>
        <v>-0.044727671965249</v>
      </c>
      <c r="E181" s="155">
        <v>25509.7</v>
      </c>
      <c r="F181" s="160">
        <f t="shared" si="5"/>
        <v>-0.000682093478167167</v>
      </c>
    </row>
    <row r="182" ht="14.25" customHeight="1" spans="2:6">
      <c r="B182" s="137">
        <v>45965</v>
      </c>
      <c r="C182" s="155">
        <v>2113.3</v>
      </c>
      <c r="D182" s="135">
        <f t="shared" si="4"/>
        <v>-0.00870676193630815</v>
      </c>
      <c r="E182" s="155">
        <v>25597.65</v>
      </c>
      <c r="F182" s="160">
        <f t="shared" si="5"/>
        <v>-0.0034358622764199</v>
      </c>
    </row>
    <row r="183" ht="14.25" customHeight="1" spans="2:6">
      <c r="B183" s="137">
        <v>45964</v>
      </c>
      <c r="C183" s="155">
        <v>2074</v>
      </c>
      <c r="D183" s="135">
        <f t="shared" si="4"/>
        <v>0.0189488910318227</v>
      </c>
      <c r="E183" s="155">
        <v>25763.35</v>
      </c>
      <c r="F183" s="160">
        <f t="shared" si="5"/>
        <v>-0.00643161700632866</v>
      </c>
    </row>
    <row r="184" ht="14.25" customHeight="1" spans="2:6">
      <c r="B184" s="137">
        <v>45961</v>
      </c>
      <c r="C184" s="155">
        <v>2054.5</v>
      </c>
      <c r="D184" s="135">
        <f t="shared" si="4"/>
        <v>0.00949136042832799</v>
      </c>
      <c r="E184" s="155">
        <v>25722.1</v>
      </c>
      <c r="F184" s="160">
        <f t="shared" si="5"/>
        <v>0.00160367932633809</v>
      </c>
    </row>
    <row r="185" ht="14.25" customHeight="1" spans="2:6">
      <c r="B185" s="137">
        <v>45960</v>
      </c>
      <c r="C185" s="155">
        <v>2066.3</v>
      </c>
      <c r="D185" s="135">
        <f t="shared" si="4"/>
        <v>-0.00571069060639795</v>
      </c>
      <c r="E185" s="155">
        <v>25877.85</v>
      </c>
      <c r="F185" s="160">
        <f t="shared" si="5"/>
        <v>-0.00601866074654578</v>
      </c>
    </row>
    <row r="186" ht="14.25" customHeight="1" spans="2:6">
      <c r="B186" s="137">
        <v>45959</v>
      </c>
      <c r="C186" s="155">
        <v>2100.6</v>
      </c>
      <c r="D186" s="135">
        <f t="shared" si="4"/>
        <v>-0.0163286679996191</v>
      </c>
      <c r="E186" s="155">
        <v>26053.9</v>
      </c>
      <c r="F186" s="160">
        <f t="shared" si="5"/>
        <v>-0.00675714576320641</v>
      </c>
    </row>
    <row r="187" ht="14.25" customHeight="1" spans="2:6">
      <c r="B187" s="137">
        <v>45958</v>
      </c>
      <c r="C187" s="155">
        <v>2090.2</v>
      </c>
      <c r="D187" s="135">
        <f t="shared" si="4"/>
        <v>0.00497560042101242</v>
      </c>
      <c r="E187" s="155">
        <v>25936.2</v>
      </c>
      <c r="F187" s="160">
        <f t="shared" si="5"/>
        <v>0.00453805877499414</v>
      </c>
    </row>
    <row r="188" ht="14.25" customHeight="1" spans="2:6">
      <c r="B188" s="137">
        <v>45957</v>
      </c>
      <c r="C188" s="155">
        <v>2080.1</v>
      </c>
      <c r="D188" s="135">
        <f t="shared" si="4"/>
        <v>0.00485553579154852</v>
      </c>
      <c r="E188" s="155">
        <v>25966.05</v>
      </c>
      <c r="F188" s="160">
        <f t="shared" si="5"/>
        <v>-0.00114957800666637</v>
      </c>
    </row>
    <row r="189" ht="14.25" customHeight="1" spans="2:6">
      <c r="B189" s="137">
        <v>45954</v>
      </c>
      <c r="C189" s="155">
        <v>2029.3</v>
      </c>
      <c r="D189" s="135">
        <f t="shared" si="4"/>
        <v>0.025033262701424</v>
      </c>
      <c r="E189" s="155">
        <v>25795.15</v>
      </c>
      <c r="F189" s="160">
        <f t="shared" si="5"/>
        <v>0.00662527645700828</v>
      </c>
    </row>
    <row r="190" ht="14.25" customHeight="1" spans="2:6">
      <c r="B190" s="137">
        <v>45953</v>
      </c>
      <c r="C190" s="155">
        <v>2007.9</v>
      </c>
      <c r="D190" s="135">
        <f t="shared" si="4"/>
        <v>0.0106579012899048</v>
      </c>
      <c r="E190" s="155">
        <v>25891.4</v>
      </c>
      <c r="F190" s="160">
        <f t="shared" si="5"/>
        <v>-0.00371745058204653</v>
      </c>
    </row>
    <row r="191" ht="14.25" customHeight="1" spans="2:6">
      <c r="B191" s="137">
        <v>45951</v>
      </c>
      <c r="C191" s="155">
        <v>2043.5</v>
      </c>
      <c r="D191" s="135">
        <f t="shared" si="4"/>
        <v>-0.0174210912649865</v>
      </c>
      <c r="E191" s="155">
        <v>25868.6</v>
      </c>
      <c r="F191" s="160">
        <f t="shared" si="5"/>
        <v>0.000881377422821572</v>
      </c>
    </row>
    <row r="192" ht="14.25" customHeight="1" spans="2:6">
      <c r="B192" s="137">
        <v>45950</v>
      </c>
      <c r="C192" s="155">
        <v>2051.5</v>
      </c>
      <c r="D192" s="135">
        <f t="shared" si="4"/>
        <v>-0.00389958566902271</v>
      </c>
      <c r="E192" s="155">
        <v>25843.15</v>
      </c>
      <c r="F192" s="160">
        <f t="shared" si="5"/>
        <v>0.000984787071235393</v>
      </c>
    </row>
    <row r="193" ht="14.25" customHeight="1" spans="2:6">
      <c r="B193" s="137">
        <v>45947</v>
      </c>
      <c r="C193" s="155">
        <v>2012</v>
      </c>
      <c r="D193" s="135">
        <f t="shared" si="4"/>
        <v>0.0196322067594434</v>
      </c>
      <c r="E193" s="155">
        <v>25709.85</v>
      </c>
      <c r="F193" s="160">
        <f t="shared" si="5"/>
        <v>0.00518478326400196</v>
      </c>
    </row>
    <row r="194" ht="14.25" customHeight="1" spans="2:6">
      <c r="B194" s="137">
        <v>45946</v>
      </c>
      <c r="C194" s="155">
        <v>1967.4</v>
      </c>
      <c r="D194" s="135">
        <f t="shared" si="4"/>
        <v>0.0226695130629258</v>
      </c>
      <c r="E194" s="155">
        <v>25585.3</v>
      </c>
      <c r="F194" s="160">
        <f t="shared" si="5"/>
        <v>0.00486802968892297</v>
      </c>
    </row>
    <row r="195" ht="14.25" customHeight="1" spans="2:6">
      <c r="B195" s="137">
        <v>45945</v>
      </c>
      <c r="C195" s="155">
        <v>1968.5</v>
      </c>
      <c r="D195" s="135">
        <f t="shared" si="4"/>
        <v>-0.000558801117602203</v>
      </c>
      <c r="E195" s="155">
        <v>25323.55</v>
      </c>
      <c r="F195" s="160">
        <f t="shared" si="5"/>
        <v>0.0103362285303601</v>
      </c>
    </row>
    <row r="196" ht="14.25" customHeight="1" spans="2:6">
      <c r="B196" s="137">
        <v>45944</v>
      </c>
      <c r="C196" s="155">
        <v>1946.6</v>
      </c>
      <c r="D196" s="135">
        <f t="shared" si="4"/>
        <v>0.0112503852871675</v>
      </c>
      <c r="E196" s="155">
        <v>25145.5</v>
      </c>
      <c r="F196" s="160">
        <f t="shared" si="5"/>
        <v>0.00708078980334448</v>
      </c>
    </row>
    <row r="197" ht="14.25" customHeight="1" spans="2:6">
      <c r="B197" s="137">
        <v>45943</v>
      </c>
      <c r="C197" s="155">
        <v>1954.9</v>
      </c>
      <c r="D197" s="135">
        <f t="shared" si="4"/>
        <v>-0.004245741470152</v>
      </c>
      <c r="E197" s="155">
        <v>25227.35</v>
      </c>
      <c r="F197" s="160">
        <f t="shared" si="5"/>
        <v>-0.00324449456641296</v>
      </c>
    </row>
    <row r="198" ht="14.25" customHeight="1" spans="2:6">
      <c r="B198" s="137">
        <v>45940</v>
      </c>
      <c r="C198" s="155">
        <v>1939.9</v>
      </c>
      <c r="D198" s="135">
        <f t="shared" si="4"/>
        <v>0.00773235733800703</v>
      </c>
      <c r="E198" s="155">
        <v>25285.35</v>
      </c>
      <c r="F198" s="160">
        <f t="shared" si="5"/>
        <v>-0.00229381835727016</v>
      </c>
    </row>
    <row r="199" ht="14.25" customHeight="1" spans="2:6">
      <c r="B199" s="137">
        <v>45939</v>
      </c>
      <c r="C199" s="155">
        <v>1942</v>
      </c>
      <c r="D199" s="135">
        <f t="shared" si="4"/>
        <v>-0.00108135942327492</v>
      </c>
      <c r="E199" s="155">
        <v>25181.8</v>
      </c>
      <c r="F199" s="160">
        <f t="shared" si="5"/>
        <v>0.00411209683183889</v>
      </c>
    </row>
    <row r="200" ht="14.25" customHeight="1" spans="2:6">
      <c r="B200" s="137">
        <v>45938</v>
      </c>
      <c r="C200" s="155">
        <v>1943.5</v>
      </c>
      <c r="D200" s="135">
        <f t="shared" si="4"/>
        <v>-0.000771803447388697</v>
      </c>
      <c r="E200" s="155">
        <v>25046.15</v>
      </c>
      <c r="F200" s="160">
        <f t="shared" si="5"/>
        <v>0.00541600206019677</v>
      </c>
    </row>
    <row r="201" ht="14.25" customHeight="1" spans="2:6">
      <c r="B201" s="137">
        <v>45937</v>
      </c>
      <c r="C201" s="155">
        <v>1929</v>
      </c>
      <c r="D201" s="135">
        <f t="shared" ref="D201:D264" si="6">C200/C201-1</f>
        <v>0.00751684810782782</v>
      </c>
      <c r="E201" s="155">
        <v>25108.3</v>
      </c>
      <c r="F201" s="160">
        <f t="shared" ref="F201:F264" si="7">E200/E201-1</f>
        <v>-0.00247527709960438</v>
      </c>
    </row>
    <row r="202" ht="14.25" customHeight="1" spans="2:6">
      <c r="B202" s="137">
        <v>45936</v>
      </c>
      <c r="C202" s="155">
        <v>1903.1</v>
      </c>
      <c r="D202" s="135">
        <f t="shared" si="6"/>
        <v>0.0136093741789711</v>
      </c>
      <c r="E202" s="155">
        <v>25077.65</v>
      </c>
      <c r="F202" s="160">
        <f t="shared" si="7"/>
        <v>0.0012222038348888</v>
      </c>
    </row>
    <row r="203" ht="14.25" customHeight="1" spans="2:6">
      <c r="B203" s="137">
        <v>45933</v>
      </c>
      <c r="C203" s="155">
        <v>1896.7</v>
      </c>
      <c r="D203" s="135">
        <f t="shared" si="6"/>
        <v>0.00337428164707121</v>
      </c>
      <c r="E203" s="155">
        <v>24894.25</v>
      </c>
      <c r="F203" s="160">
        <f t="shared" si="7"/>
        <v>0.00736716309991259</v>
      </c>
    </row>
    <row r="204" ht="14.25" customHeight="1" spans="2:6">
      <c r="B204" s="137">
        <v>45931</v>
      </c>
      <c r="C204" s="155">
        <v>1867.6</v>
      </c>
      <c r="D204" s="135">
        <f t="shared" si="6"/>
        <v>0.0155814949668023</v>
      </c>
      <c r="E204" s="155">
        <v>24836.3</v>
      </c>
      <c r="F204" s="160">
        <f t="shared" si="7"/>
        <v>0.00233327830635011</v>
      </c>
    </row>
    <row r="205" ht="14.25" customHeight="1" spans="2:6">
      <c r="B205" s="137">
        <v>45930</v>
      </c>
      <c r="C205" s="155">
        <v>1878.4</v>
      </c>
      <c r="D205" s="135">
        <f t="shared" si="6"/>
        <v>-0.00574957410562194</v>
      </c>
      <c r="E205" s="155">
        <v>24611.1</v>
      </c>
      <c r="F205" s="160">
        <f t="shared" si="7"/>
        <v>0.00915034273153181</v>
      </c>
    </row>
    <row r="206" ht="14.25" customHeight="1" spans="2:6">
      <c r="B206" s="137">
        <v>45929</v>
      </c>
      <c r="C206" s="155">
        <v>1902.2</v>
      </c>
      <c r="D206" s="135">
        <f t="shared" si="6"/>
        <v>-0.0125118284092104</v>
      </c>
      <c r="E206" s="155">
        <v>24634.9</v>
      </c>
      <c r="F206" s="160">
        <f t="shared" si="7"/>
        <v>-0.000966109056663611</v>
      </c>
    </row>
    <row r="207" ht="14.25" customHeight="1" spans="2:6">
      <c r="B207" s="137">
        <v>45926</v>
      </c>
      <c r="C207" s="155">
        <v>1916.6</v>
      </c>
      <c r="D207" s="135">
        <f t="shared" si="6"/>
        <v>-0.00751330481060208</v>
      </c>
      <c r="E207" s="155">
        <v>24654.7</v>
      </c>
      <c r="F207" s="160">
        <f t="shared" si="7"/>
        <v>-0.000803092310999509</v>
      </c>
    </row>
    <row r="208" ht="14.25" customHeight="1" spans="2:6">
      <c r="B208" s="137">
        <v>45925</v>
      </c>
      <c r="C208" s="155">
        <v>1935.6</v>
      </c>
      <c r="D208" s="135">
        <f t="shared" si="6"/>
        <v>-0.00981607770200454</v>
      </c>
      <c r="E208" s="155">
        <v>24890.85</v>
      </c>
      <c r="F208" s="160">
        <f t="shared" si="7"/>
        <v>-0.00948742208482223</v>
      </c>
    </row>
    <row r="209" ht="14.25" customHeight="1" spans="2:6">
      <c r="B209" s="137">
        <v>45924</v>
      </c>
      <c r="C209" s="155">
        <v>1931.1</v>
      </c>
      <c r="D209" s="135">
        <f t="shared" si="6"/>
        <v>0.00233027807985087</v>
      </c>
      <c r="E209" s="155">
        <v>25056.9</v>
      </c>
      <c r="F209" s="160">
        <f t="shared" si="7"/>
        <v>-0.00662691713659724</v>
      </c>
    </row>
    <row r="210" ht="14.25" customHeight="1" spans="2:6">
      <c r="B210" s="137">
        <v>45923</v>
      </c>
      <c r="C210" s="155">
        <v>1938.7</v>
      </c>
      <c r="D210" s="135">
        <f t="shared" si="6"/>
        <v>-0.00392015267963075</v>
      </c>
      <c r="E210" s="155">
        <v>25169.5</v>
      </c>
      <c r="F210" s="160">
        <f t="shared" si="7"/>
        <v>-0.00447366852738429</v>
      </c>
    </row>
    <row r="211" ht="14.25" customHeight="1" spans="2:6">
      <c r="B211" s="137">
        <v>45922</v>
      </c>
      <c r="C211" s="155">
        <v>1956.2</v>
      </c>
      <c r="D211" s="135">
        <f t="shared" si="6"/>
        <v>-0.00894591555055724</v>
      </c>
      <c r="E211" s="155">
        <v>25202.35</v>
      </c>
      <c r="F211" s="160">
        <f t="shared" si="7"/>
        <v>-0.00130344987669795</v>
      </c>
    </row>
    <row r="212" ht="14.25" customHeight="1" spans="2:6">
      <c r="B212" s="137">
        <v>45919</v>
      </c>
      <c r="C212" s="155">
        <v>1962.4</v>
      </c>
      <c r="D212" s="135">
        <f t="shared" si="6"/>
        <v>-0.00315939665715448</v>
      </c>
      <c r="E212" s="155">
        <v>25327.05</v>
      </c>
      <c r="F212" s="160">
        <f t="shared" si="7"/>
        <v>-0.00492358960084183</v>
      </c>
    </row>
    <row r="213" ht="14.25" customHeight="1" spans="2:6">
      <c r="B213" s="137">
        <v>45918</v>
      </c>
      <c r="C213" s="155">
        <v>1941.1</v>
      </c>
      <c r="D213" s="135">
        <f t="shared" si="6"/>
        <v>0.0109731595487097</v>
      </c>
      <c r="E213" s="155">
        <v>25423.6</v>
      </c>
      <c r="F213" s="160">
        <f t="shared" si="7"/>
        <v>-0.00379765257477305</v>
      </c>
    </row>
    <row r="214" ht="14.25" customHeight="1" spans="2:6">
      <c r="B214" s="137">
        <v>45917</v>
      </c>
      <c r="C214" s="155">
        <v>1941.3</v>
      </c>
      <c r="D214" s="135">
        <f t="shared" si="6"/>
        <v>-0.000103023746973685</v>
      </c>
      <c r="E214" s="155">
        <v>25330.25</v>
      </c>
      <c r="F214" s="160">
        <f t="shared" si="7"/>
        <v>0.00368531696291985</v>
      </c>
    </row>
    <row r="215" ht="14.25" customHeight="1" spans="2:6">
      <c r="B215" s="137">
        <v>45916</v>
      </c>
      <c r="C215" s="155">
        <v>1939.5</v>
      </c>
      <c r="D215" s="135">
        <f t="shared" si="6"/>
        <v>0.000928074245939658</v>
      </c>
      <c r="E215" s="155">
        <v>25239.1</v>
      </c>
      <c r="F215" s="160">
        <f t="shared" si="7"/>
        <v>0.00361145999659263</v>
      </c>
    </row>
    <row r="216" ht="14.25" customHeight="1" spans="2:6">
      <c r="B216" s="137">
        <v>45915</v>
      </c>
      <c r="C216" s="155">
        <v>1904.5</v>
      </c>
      <c r="D216" s="135">
        <f t="shared" si="6"/>
        <v>0.0183775269099502</v>
      </c>
      <c r="E216" s="155">
        <v>25069.2</v>
      </c>
      <c r="F216" s="160">
        <f t="shared" si="7"/>
        <v>0.00677724059802465</v>
      </c>
    </row>
    <row r="217" ht="14.25" customHeight="1" spans="2:6">
      <c r="B217" s="137">
        <v>45912</v>
      </c>
      <c r="C217" s="155">
        <v>1902.6</v>
      </c>
      <c r="D217" s="135">
        <f t="shared" si="6"/>
        <v>0.00099863344896467</v>
      </c>
      <c r="E217" s="155">
        <v>25114</v>
      </c>
      <c r="F217" s="160">
        <f t="shared" si="7"/>
        <v>-0.00178386557298715</v>
      </c>
    </row>
    <row r="218" ht="14.25" customHeight="1" spans="2:6">
      <c r="B218" s="137">
        <v>45911</v>
      </c>
      <c r="C218" s="155">
        <v>1913</v>
      </c>
      <c r="D218" s="135">
        <f t="shared" si="6"/>
        <v>-0.0054364871928908</v>
      </c>
      <c r="E218" s="155">
        <v>25005.5</v>
      </c>
      <c r="F218" s="160">
        <f t="shared" si="7"/>
        <v>0.00433904541000985</v>
      </c>
    </row>
    <row r="219" ht="14.25" customHeight="1" spans="2:6">
      <c r="B219" s="137">
        <v>45910</v>
      </c>
      <c r="C219" s="155">
        <v>1891.4</v>
      </c>
      <c r="D219" s="135">
        <f t="shared" si="6"/>
        <v>0.0114201120862853</v>
      </c>
      <c r="E219" s="155">
        <v>24973.1</v>
      </c>
      <c r="F219" s="160">
        <f t="shared" si="7"/>
        <v>0.00129739599809398</v>
      </c>
    </row>
    <row r="220" ht="14.25" customHeight="1" spans="2:6">
      <c r="B220" s="137">
        <v>45909</v>
      </c>
      <c r="C220" s="155">
        <v>1893.7</v>
      </c>
      <c r="D220" s="135">
        <f t="shared" si="6"/>
        <v>-0.0012145535195649</v>
      </c>
      <c r="E220" s="155">
        <v>24868.6</v>
      </c>
      <c r="F220" s="160">
        <f t="shared" si="7"/>
        <v>0.0042020861648826</v>
      </c>
    </row>
    <row r="221" ht="14.25" customHeight="1" spans="2:6">
      <c r="B221" s="137">
        <v>45908</v>
      </c>
      <c r="C221" s="155">
        <v>1887.7</v>
      </c>
      <c r="D221" s="135">
        <f t="shared" si="6"/>
        <v>0.00317847115537417</v>
      </c>
      <c r="E221" s="155">
        <v>24773.15</v>
      </c>
      <c r="F221" s="160">
        <f t="shared" si="7"/>
        <v>0.00385296177514749</v>
      </c>
    </row>
    <row r="222" ht="14.25" customHeight="1" spans="2:6">
      <c r="B222" s="137">
        <v>45905</v>
      </c>
      <c r="C222" s="155">
        <v>1895.3</v>
      </c>
      <c r="D222" s="135">
        <f t="shared" si="6"/>
        <v>-0.00400991927399352</v>
      </c>
      <c r="E222" s="155">
        <v>24741</v>
      </c>
      <c r="F222" s="160">
        <f t="shared" si="7"/>
        <v>0.00129946243078294</v>
      </c>
    </row>
    <row r="223" ht="14.25" customHeight="1" spans="2:6">
      <c r="B223" s="137">
        <v>45904</v>
      </c>
      <c r="C223" s="155">
        <v>1880.4</v>
      </c>
      <c r="D223" s="135">
        <f t="shared" si="6"/>
        <v>0.00792384599021467</v>
      </c>
      <c r="E223" s="155">
        <v>24734.3</v>
      </c>
      <c r="F223" s="160">
        <f t="shared" si="7"/>
        <v>0.000270878900959337</v>
      </c>
    </row>
    <row r="224" ht="14.25" customHeight="1" spans="2:6">
      <c r="B224" s="137">
        <v>45903</v>
      </c>
      <c r="C224" s="155">
        <v>1883.9</v>
      </c>
      <c r="D224" s="135">
        <f t="shared" si="6"/>
        <v>-0.00185784808110834</v>
      </c>
      <c r="E224" s="155">
        <v>24715.05</v>
      </c>
      <c r="F224" s="160">
        <f t="shared" si="7"/>
        <v>0.000778877647425347</v>
      </c>
    </row>
    <row r="225" ht="14.25" customHeight="1" spans="2:6">
      <c r="B225" s="137">
        <v>45902</v>
      </c>
      <c r="C225" s="155">
        <v>1887.2</v>
      </c>
      <c r="D225" s="135">
        <f t="shared" si="6"/>
        <v>-0.00174862229758366</v>
      </c>
      <c r="E225" s="155">
        <v>24579.6</v>
      </c>
      <c r="F225" s="160">
        <f t="shared" si="7"/>
        <v>0.00551066738270767</v>
      </c>
    </row>
    <row r="226" ht="14.25" customHeight="1" spans="2:6">
      <c r="B226" s="137">
        <v>45901</v>
      </c>
      <c r="C226" s="155">
        <v>1900.6</v>
      </c>
      <c r="D226" s="135">
        <f t="shared" si="6"/>
        <v>-0.00705040513522037</v>
      </c>
      <c r="E226" s="155">
        <v>24625.05</v>
      </c>
      <c r="F226" s="160">
        <f t="shared" si="7"/>
        <v>-0.00184568153161113</v>
      </c>
    </row>
    <row r="227" ht="14.25" customHeight="1" spans="2:6">
      <c r="B227" s="137">
        <v>45898</v>
      </c>
      <c r="C227" s="155">
        <v>1888.8</v>
      </c>
      <c r="D227" s="135">
        <f t="shared" si="6"/>
        <v>0.00624735281660316</v>
      </c>
      <c r="E227" s="155">
        <v>24426.85</v>
      </c>
      <c r="F227" s="160">
        <f t="shared" si="7"/>
        <v>0.00811402206997625</v>
      </c>
    </row>
    <row r="228" ht="14.25" customHeight="1" spans="2:6">
      <c r="B228" s="137">
        <v>45897</v>
      </c>
      <c r="C228" s="155">
        <v>1881.1</v>
      </c>
      <c r="D228" s="135">
        <f t="shared" si="6"/>
        <v>0.00409334963585128</v>
      </c>
      <c r="E228" s="155">
        <v>24500.9</v>
      </c>
      <c r="F228" s="160">
        <f t="shared" si="7"/>
        <v>-0.00302233795493234</v>
      </c>
    </row>
    <row r="229" ht="14.25" customHeight="1" spans="2:6">
      <c r="B229" s="137">
        <v>45895</v>
      </c>
      <c r="C229" s="155">
        <v>1904.7</v>
      </c>
      <c r="D229" s="135">
        <f t="shared" si="6"/>
        <v>-0.0123904026880874</v>
      </c>
      <c r="E229" s="155">
        <v>24712.05</v>
      </c>
      <c r="F229" s="160">
        <f t="shared" si="7"/>
        <v>-0.00854441456698241</v>
      </c>
    </row>
    <row r="230" ht="14.25" customHeight="1" spans="2:6">
      <c r="B230" s="137">
        <v>45894</v>
      </c>
      <c r="C230" s="155">
        <v>1930.7</v>
      </c>
      <c r="D230" s="135">
        <f t="shared" si="6"/>
        <v>-0.0134666183249599</v>
      </c>
      <c r="E230" s="155">
        <v>24967.75</v>
      </c>
      <c r="F230" s="160">
        <f t="shared" si="7"/>
        <v>-0.0102412111623995</v>
      </c>
    </row>
    <row r="231" ht="14.25" customHeight="1" spans="2:6">
      <c r="B231" s="137">
        <v>45891</v>
      </c>
      <c r="C231" s="155">
        <v>1933.3</v>
      </c>
      <c r="D231" s="135">
        <f t="shared" si="6"/>
        <v>-0.00134485077328916</v>
      </c>
      <c r="E231" s="155">
        <v>24870.1</v>
      </c>
      <c r="F231" s="160">
        <f t="shared" si="7"/>
        <v>0.00392640158262347</v>
      </c>
    </row>
    <row r="232" ht="14.25" customHeight="1" spans="2:6">
      <c r="B232" s="137">
        <v>45890</v>
      </c>
      <c r="C232" s="155">
        <v>1929.9</v>
      </c>
      <c r="D232" s="135">
        <f t="shared" si="6"/>
        <v>0.00176174931343587</v>
      </c>
      <c r="E232" s="155">
        <v>25083.75</v>
      </c>
      <c r="F232" s="160">
        <f t="shared" si="7"/>
        <v>-0.0085174664872677</v>
      </c>
    </row>
    <row r="233" ht="14.25" customHeight="1" spans="2:6">
      <c r="B233" s="137">
        <v>45889</v>
      </c>
      <c r="C233" s="155">
        <v>1928.4</v>
      </c>
      <c r="D233" s="135">
        <f t="shared" si="6"/>
        <v>0.000777846919726155</v>
      </c>
      <c r="E233" s="155">
        <v>25050.55</v>
      </c>
      <c r="F233" s="160">
        <f t="shared" si="7"/>
        <v>0.0013253202025505</v>
      </c>
    </row>
    <row r="234" ht="14.25" customHeight="1" spans="2:6">
      <c r="B234" s="137">
        <v>45888</v>
      </c>
      <c r="C234" s="155">
        <v>1909.7</v>
      </c>
      <c r="D234" s="135">
        <f t="shared" si="6"/>
        <v>0.00979211394459867</v>
      </c>
      <c r="E234" s="155">
        <v>24980.65</v>
      </c>
      <c r="F234" s="160">
        <f t="shared" si="7"/>
        <v>0.00279816578031378</v>
      </c>
    </row>
    <row r="235" ht="14.25" customHeight="1" spans="2:6">
      <c r="B235" s="137">
        <v>45887</v>
      </c>
      <c r="C235" s="155">
        <v>1892.3</v>
      </c>
      <c r="D235" s="135">
        <f t="shared" si="6"/>
        <v>0.00919515932991599</v>
      </c>
      <c r="E235" s="155">
        <v>24876.95</v>
      </c>
      <c r="F235" s="160">
        <f t="shared" si="7"/>
        <v>0.00416851744285385</v>
      </c>
    </row>
    <row r="236" ht="14.25" customHeight="1" spans="2:6">
      <c r="B236" s="137">
        <v>45883</v>
      </c>
      <c r="C236" s="155">
        <v>1873.8</v>
      </c>
      <c r="D236" s="135">
        <f t="shared" si="6"/>
        <v>0.00987298537730807</v>
      </c>
      <c r="E236" s="155">
        <v>24631.3</v>
      </c>
      <c r="F236" s="160">
        <f t="shared" si="7"/>
        <v>0.00997308302850453</v>
      </c>
    </row>
    <row r="237" ht="14.25" customHeight="1" spans="2:6">
      <c r="B237" s="137">
        <v>45882</v>
      </c>
      <c r="C237" s="155">
        <v>1867.4</v>
      </c>
      <c r="D237" s="135">
        <f t="shared" si="6"/>
        <v>0.0034272250187426</v>
      </c>
      <c r="E237" s="155">
        <v>24619.35</v>
      </c>
      <c r="F237" s="160">
        <f t="shared" si="7"/>
        <v>0.000485390556615117</v>
      </c>
    </row>
    <row r="238" ht="14.25" customHeight="1" spans="2:6">
      <c r="B238" s="137">
        <v>45881</v>
      </c>
      <c r="C238" s="155">
        <v>1850.3</v>
      </c>
      <c r="D238" s="135">
        <f t="shared" si="6"/>
        <v>0.0092417445819597</v>
      </c>
      <c r="E238" s="155">
        <v>24487.4</v>
      </c>
      <c r="F238" s="160">
        <f t="shared" si="7"/>
        <v>0.00538848550683202</v>
      </c>
    </row>
    <row r="239" ht="14.25" customHeight="1" spans="2:6">
      <c r="B239" s="137">
        <v>45880</v>
      </c>
      <c r="C239" s="155">
        <v>1857.4</v>
      </c>
      <c r="D239" s="135">
        <f t="shared" si="6"/>
        <v>-0.00382254764724888</v>
      </c>
      <c r="E239" s="155">
        <v>24585.05</v>
      </c>
      <c r="F239" s="160">
        <f t="shared" si="7"/>
        <v>-0.00397192602821628</v>
      </c>
    </row>
    <row r="240" ht="14.25" customHeight="1" spans="2:6">
      <c r="B240" s="137">
        <v>45877</v>
      </c>
      <c r="C240" s="155">
        <v>1858.6</v>
      </c>
      <c r="D240" s="135">
        <f t="shared" si="6"/>
        <v>-0.00064564726137939</v>
      </c>
      <c r="E240" s="155">
        <v>24363.3</v>
      </c>
      <c r="F240" s="160">
        <f t="shared" si="7"/>
        <v>0.00910180476372258</v>
      </c>
    </row>
    <row r="241" ht="14.25" customHeight="1" spans="2:6">
      <c r="B241" s="137">
        <v>45876</v>
      </c>
      <c r="C241" s="155">
        <v>1922.6</v>
      </c>
      <c r="D241" s="135">
        <f t="shared" si="6"/>
        <v>-0.0332882554873609</v>
      </c>
      <c r="E241" s="155">
        <v>24596.15</v>
      </c>
      <c r="F241" s="160">
        <f t="shared" si="7"/>
        <v>-0.00946692876730715</v>
      </c>
    </row>
    <row r="242" ht="14.25" customHeight="1" spans="2:6">
      <c r="B242" s="137">
        <v>45875</v>
      </c>
      <c r="C242" s="155">
        <v>1929.7</v>
      </c>
      <c r="D242" s="135">
        <f t="shared" si="6"/>
        <v>-0.00367932839301455</v>
      </c>
      <c r="E242" s="155">
        <v>24574.2</v>
      </c>
      <c r="F242" s="160">
        <f t="shared" si="7"/>
        <v>0.000893213207347587</v>
      </c>
    </row>
    <row r="243" ht="14.25" customHeight="1" spans="2:6">
      <c r="B243" s="137">
        <v>45874</v>
      </c>
      <c r="C243" s="155">
        <v>1931.8</v>
      </c>
      <c r="D243" s="135">
        <f t="shared" si="6"/>
        <v>-0.00108706905476752</v>
      </c>
      <c r="E243" s="155">
        <v>24649.55</v>
      </c>
      <c r="F243" s="160">
        <f t="shared" si="7"/>
        <v>-0.00305685093642682</v>
      </c>
    </row>
    <row r="244" ht="14.25" customHeight="1" spans="2:6">
      <c r="B244" s="137">
        <v>45873</v>
      </c>
      <c r="C244" s="155">
        <v>1914.6</v>
      </c>
      <c r="D244" s="135">
        <f t="shared" si="6"/>
        <v>0.00898359970751073</v>
      </c>
      <c r="E244" s="155">
        <v>24722.75</v>
      </c>
      <c r="F244" s="160">
        <f t="shared" si="7"/>
        <v>-0.00296083566755323</v>
      </c>
    </row>
    <row r="245" ht="14.25" customHeight="1" spans="2:6">
      <c r="B245" s="137">
        <v>45870</v>
      </c>
      <c r="C245" s="155">
        <v>1884.4</v>
      </c>
      <c r="D245" s="135">
        <f t="shared" si="6"/>
        <v>0.0160263213755041</v>
      </c>
      <c r="E245" s="155">
        <v>24565.35</v>
      </c>
      <c r="F245" s="160">
        <f t="shared" si="7"/>
        <v>0.00640739903970444</v>
      </c>
    </row>
    <row r="246" ht="14.25" customHeight="1" spans="2:6">
      <c r="B246" s="137">
        <v>45869</v>
      </c>
      <c r="C246" s="155">
        <v>1914.3</v>
      </c>
      <c r="D246" s="135">
        <f t="shared" si="6"/>
        <v>-0.0156192864232356</v>
      </c>
      <c r="E246" s="155">
        <v>24768.35</v>
      </c>
      <c r="F246" s="160">
        <f t="shared" si="7"/>
        <v>-0.00819594361352294</v>
      </c>
    </row>
    <row r="247" ht="14.25" customHeight="1" spans="2:6">
      <c r="B247" s="137">
        <v>45868</v>
      </c>
      <c r="C247" s="155">
        <v>1932.6</v>
      </c>
      <c r="D247" s="135">
        <f t="shared" si="6"/>
        <v>-0.00946910897236886</v>
      </c>
      <c r="E247" s="155">
        <v>24855.05</v>
      </c>
      <c r="F247" s="160">
        <f t="shared" si="7"/>
        <v>-0.00348822472696697</v>
      </c>
    </row>
    <row r="248" ht="14.25" customHeight="1" spans="2:6">
      <c r="B248" s="137">
        <v>45867</v>
      </c>
      <c r="C248" s="155">
        <v>1918.3</v>
      </c>
      <c r="D248" s="135">
        <f t="shared" si="6"/>
        <v>0.00745451702027844</v>
      </c>
      <c r="E248" s="155">
        <v>24821.1</v>
      </c>
      <c r="F248" s="160">
        <f t="shared" si="7"/>
        <v>0.00136778789014191</v>
      </c>
    </row>
    <row r="249" ht="14.25" customHeight="1" spans="2:6">
      <c r="B249" s="137">
        <v>45866</v>
      </c>
      <c r="C249" s="155">
        <v>1890.3</v>
      </c>
      <c r="D249" s="135">
        <f t="shared" si="6"/>
        <v>0.0148124636301117</v>
      </c>
      <c r="E249" s="155">
        <v>24680.9</v>
      </c>
      <c r="F249" s="160">
        <f t="shared" si="7"/>
        <v>0.00568050597830694</v>
      </c>
    </row>
    <row r="250" ht="14.25" customHeight="1" spans="2:6">
      <c r="B250" s="137">
        <v>45863</v>
      </c>
      <c r="C250" s="155">
        <v>1937.9</v>
      </c>
      <c r="D250" s="135">
        <f t="shared" si="6"/>
        <v>-0.0245626709324527</v>
      </c>
      <c r="E250" s="155">
        <v>24837</v>
      </c>
      <c r="F250" s="160">
        <f t="shared" si="7"/>
        <v>-0.00628497805693118</v>
      </c>
    </row>
    <row r="251" ht="14.25" customHeight="1" spans="2:6">
      <c r="B251" s="137">
        <v>45862</v>
      </c>
      <c r="C251" s="155">
        <v>1936.1</v>
      </c>
      <c r="D251" s="135">
        <f t="shared" si="6"/>
        <v>0.000929704044212665</v>
      </c>
      <c r="E251" s="155">
        <v>25062.1</v>
      </c>
      <c r="F251" s="160">
        <f t="shared" si="7"/>
        <v>-0.00898168948332334</v>
      </c>
    </row>
    <row r="252" ht="14.25" customHeight="1" spans="2:6">
      <c r="B252" s="137">
        <v>45861</v>
      </c>
      <c r="C252" s="155">
        <v>1943.8</v>
      </c>
      <c r="D252" s="135">
        <f t="shared" si="6"/>
        <v>-0.00396131289227286</v>
      </c>
      <c r="E252" s="155">
        <v>25219.9</v>
      </c>
      <c r="F252" s="160">
        <f t="shared" si="7"/>
        <v>-0.00625696374688256</v>
      </c>
    </row>
    <row r="253" ht="14.25" customHeight="1" spans="2:6">
      <c r="B253" s="137">
        <v>45860</v>
      </c>
      <c r="C253" s="155">
        <v>1906.8</v>
      </c>
      <c r="D253" s="135">
        <f t="shared" si="6"/>
        <v>0.0194042374659116</v>
      </c>
      <c r="E253" s="155">
        <v>25060.9</v>
      </c>
      <c r="F253" s="160">
        <f t="shared" si="7"/>
        <v>0.00634454468913725</v>
      </c>
    </row>
    <row r="254" ht="14.25" customHeight="1" spans="2:6">
      <c r="B254" s="137">
        <v>45859</v>
      </c>
      <c r="C254" s="155">
        <v>1909.2</v>
      </c>
      <c r="D254" s="135">
        <f t="shared" si="6"/>
        <v>-0.00125707102451289</v>
      </c>
      <c r="E254" s="155">
        <v>25090.7</v>
      </c>
      <c r="F254" s="160">
        <f t="shared" si="7"/>
        <v>-0.00118769105684569</v>
      </c>
    </row>
    <row r="255" ht="14.25" customHeight="1" spans="2:6">
      <c r="B255" s="137">
        <v>45856</v>
      </c>
      <c r="C255" s="155">
        <v>1901</v>
      </c>
      <c r="D255" s="135">
        <f t="shared" si="6"/>
        <v>0.00431351920042089</v>
      </c>
      <c r="E255" s="155">
        <v>24968.4</v>
      </c>
      <c r="F255" s="160">
        <f t="shared" si="7"/>
        <v>0.00489819131382063</v>
      </c>
    </row>
    <row r="256" ht="14.25" customHeight="1" spans="2:6">
      <c r="B256" s="137">
        <v>45855</v>
      </c>
      <c r="C256" s="155">
        <v>1929.9</v>
      </c>
      <c r="D256" s="135">
        <f t="shared" si="6"/>
        <v>-0.0149748691642054</v>
      </c>
      <c r="E256" s="155">
        <v>25111.45</v>
      </c>
      <c r="F256" s="160">
        <f t="shared" si="7"/>
        <v>-0.00569660453697418</v>
      </c>
    </row>
    <row r="257" ht="14.25" customHeight="1" spans="2:6">
      <c r="B257" s="137">
        <v>45854</v>
      </c>
      <c r="C257" s="155">
        <v>1936.6</v>
      </c>
      <c r="D257" s="135">
        <f t="shared" si="6"/>
        <v>-0.00345967158938332</v>
      </c>
      <c r="E257" s="155">
        <v>25212.05</v>
      </c>
      <c r="F257" s="160">
        <f t="shared" si="7"/>
        <v>-0.00399015550104009</v>
      </c>
    </row>
    <row r="258" ht="14.25" customHeight="1" spans="2:6">
      <c r="B258" s="137">
        <v>45853</v>
      </c>
      <c r="C258" s="155">
        <v>1934.2</v>
      </c>
      <c r="D258" s="135">
        <f t="shared" si="6"/>
        <v>0.00124082307930928</v>
      </c>
      <c r="E258" s="155">
        <v>25195.8</v>
      </c>
      <c r="F258" s="160">
        <f t="shared" si="7"/>
        <v>0.000644948761301389</v>
      </c>
    </row>
    <row r="259" ht="14.25" customHeight="1" spans="2:6">
      <c r="B259" s="137">
        <v>45852</v>
      </c>
      <c r="C259" s="155">
        <v>1920.9</v>
      </c>
      <c r="D259" s="135">
        <f t="shared" si="6"/>
        <v>0.00692383778437189</v>
      </c>
      <c r="E259" s="155">
        <v>25082.3</v>
      </c>
      <c r="F259" s="160">
        <f t="shared" si="7"/>
        <v>0.00452510335973977</v>
      </c>
    </row>
    <row r="260" ht="14.25" customHeight="1" spans="2:6">
      <c r="B260" s="137">
        <v>45849</v>
      </c>
      <c r="C260" s="155">
        <v>1921.9</v>
      </c>
      <c r="D260" s="135">
        <f t="shared" si="6"/>
        <v>-0.000520318434882094</v>
      </c>
      <c r="E260" s="155">
        <v>25149.85</v>
      </c>
      <c r="F260" s="160">
        <f t="shared" si="7"/>
        <v>-0.00268590071113739</v>
      </c>
    </row>
    <row r="261" ht="14.25" customHeight="1" spans="2:6">
      <c r="B261" s="137">
        <v>45848</v>
      </c>
      <c r="C261" s="155">
        <v>1964.5</v>
      </c>
      <c r="D261" s="135">
        <f t="shared" si="6"/>
        <v>-0.0216849071010434</v>
      </c>
      <c r="E261" s="155">
        <v>25355.25</v>
      </c>
      <c r="F261" s="160">
        <f t="shared" si="7"/>
        <v>-0.00810088640419637</v>
      </c>
    </row>
    <row r="262" ht="14.25" customHeight="1" spans="2:6">
      <c r="B262" s="137">
        <v>45847</v>
      </c>
      <c r="C262" s="155">
        <v>2019.7</v>
      </c>
      <c r="D262" s="135">
        <f t="shared" si="6"/>
        <v>-0.0273307917017379</v>
      </c>
      <c r="E262" s="155">
        <v>25476.1</v>
      </c>
      <c r="F262" s="160">
        <f t="shared" si="7"/>
        <v>-0.00474366170646212</v>
      </c>
    </row>
    <row r="263" ht="14.25" customHeight="1" spans="2:6">
      <c r="B263" s="137">
        <v>45846</v>
      </c>
      <c r="C263" s="155">
        <v>2030</v>
      </c>
      <c r="D263" s="135">
        <f t="shared" si="6"/>
        <v>-0.00507389162561578</v>
      </c>
      <c r="E263" s="155">
        <v>25522.5</v>
      </c>
      <c r="F263" s="160">
        <f t="shared" si="7"/>
        <v>-0.00181800372220597</v>
      </c>
    </row>
    <row r="264" ht="14.25" customHeight="1" spans="2:6">
      <c r="B264" s="137">
        <v>45845</v>
      </c>
      <c r="C264" s="155">
        <v>2033.9</v>
      </c>
      <c r="D264" s="135">
        <f t="shared" si="6"/>
        <v>-0.00191749840208466</v>
      </c>
      <c r="E264" s="155">
        <v>25461.3</v>
      </c>
      <c r="F264" s="160">
        <f t="shared" si="7"/>
        <v>0.00240364788914937</v>
      </c>
    </row>
    <row r="265" ht="14.25" customHeight="1" spans="2:6">
      <c r="B265" s="137">
        <v>45842</v>
      </c>
      <c r="C265" s="155">
        <v>2017.2</v>
      </c>
      <c r="D265" s="135">
        <f t="shared" ref="D265:D328" si="8">C264/C265-1</f>
        <v>0.00827880230021805</v>
      </c>
      <c r="E265" s="155">
        <v>25461</v>
      </c>
      <c r="F265" s="160">
        <f t="shared" ref="F265:F328" si="9">E264/E265-1</f>
        <v>1.17827265229131e-5</v>
      </c>
    </row>
    <row r="266" ht="14.25" customHeight="1" spans="2:6">
      <c r="B266" s="137">
        <v>45841</v>
      </c>
      <c r="C266" s="155">
        <v>2019.3</v>
      </c>
      <c r="D266" s="135">
        <f t="shared" si="8"/>
        <v>-0.0010399643440796</v>
      </c>
      <c r="E266" s="155">
        <v>25405.3</v>
      </c>
      <c r="F266" s="160">
        <f t="shared" si="9"/>
        <v>0.00219245590487027</v>
      </c>
    </row>
    <row r="267" ht="14.25" customHeight="1" spans="2:6">
      <c r="B267" s="137">
        <v>45840</v>
      </c>
      <c r="C267" s="155">
        <v>2033.3</v>
      </c>
      <c r="D267" s="135">
        <f t="shared" si="8"/>
        <v>-0.00688535877637342</v>
      </c>
      <c r="E267" s="155">
        <v>25453.4</v>
      </c>
      <c r="F267" s="160">
        <f t="shared" si="9"/>
        <v>-0.00188972789489816</v>
      </c>
    </row>
    <row r="268" ht="14.25" customHeight="1" spans="2:6">
      <c r="B268" s="137">
        <v>45839</v>
      </c>
      <c r="C268" s="155">
        <v>2019.4</v>
      </c>
      <c r="D268" s="135">
        <f t="shared" si="8"/>
        <v>0.00688323264335944</v>
      </c>
      <c r="E268" s="155">
        <v>25541.8</v>
      </c>
      <c r="F268" s="160">
        <f t="shared" si="9"/>
        <v>-0.00346099335207373</v>
      </c>
    </row>
    <row r="269" ht="14.25" customHeight="1" spans="2:6">
      <c r="B269" s="137">
        <v>45838</v>
      </c>
      <c r="C269" s="155">
        <v>2009.6</v>
      </c>
      <c r="D269" s="135">
        <f t="shared" si="8"/>
        <v>0.00487659235668803</v>
      </c>
      <c r="E269" s="155">
        <v>25517.05</v>
      </c>
      <c r="F269" s="160">
        <f t="shared" si="9"/>
        <v>0.000969939706980227</v>
      </c>
    </row>
    <row r="270" ht="14.25" customHeight="1" spans="2:6">
      <c r="B270" s="137">
        <v>45835</v>
      </c>
      <c r="C270" s="155">
        <v>2027.1</v>
      </c>
      <c r="D270" s="135">
        <f t="shared" si="8"/>
        <v>-0.0086330225445217</v>
      </c>
      <c r="E270" s="155">
        <v>25637.8</v>
      </c>
      <c r="F270" s="160">
        <f t="shared" si="9"/>
        <v>-0.00470984249818629</v>
      </c>
    </row>
    <row r="271" ht="14.25" customHeight="1" spans="2:6">
      <c r="B271" s="137">
        <v>45834</v>
      </c>
      <c r="C271" s="155">
        <v>2014.3</v>
      </c>
      <c r="D271" s="135">
        <f t="shared" si="8"/>
        <v>0.0063545648612422</v>
      </c>
      <c r="E271" s="155">
        <v>25549</v>
      </c>
      <c r="F271" s="160">
        <f t="shared" si="9"/>
        <v>0.00347567419468464</v>
      </c>
    </row>
    <row r="272" ht="14.25" customHeight="1" spans="2:6">
      <c r="B272" s="137">
        <v>45833</v>
      </c>
      <c r="C272" s="155">
        <v>1965.6</v>
      </c>
      <c r="D272" s="135">
        <f t="shared" si="8"/>
        <v>0.0247761497761498</v>
      </c>
      <c r="E272" s="155">
        <v>25244.75</v>
      </c>
      <c r="F272" s="160">
        <f t="shared" si="9"/>
        <v>0.0120520108141298</v>
      </c>
    </row>
    <row r="273" ht="14.25" customHeight="1" spans="2:6">
      <c r="B273" s="137">
        <v>45832</v>
      </c>
      <c r="C273" s="155">
        <v>1933.6</v>
      </c>
      <c r="D273" s="135">
        <f t="shared" si="8"/>
        <v>0.016549441456351</v>
      </c>
      <c r="E273" s="155">
        <v>25044.35</v>
      </c>
      <c r="F273" s="160">
        <f t="shared" si="9"/>
        <v>0.00800180479828794</v>
      </c>
    </row>
    <row r="274" ht="14.25" customHeight="1" spans="2:6">
      <c r="B274" s="137">
        <v>45831</v>
      </c>
      <c r="C274" s="155">
        <v>1936.3</v>
      </c>
      <c r="D274" s="135">
        <f t="shared" si="8"/>
        <v>-0.00139441202293034</v>
      </c>
      <c r="E274" s="155">
        <v>24971.9</v>
      </c>
      <c r="F274" s="160">
        <f t="shared" si="9"/>
        <v>0.00290126101738353</v>
      </c>
    </row>
    <row r="275" ht="14.25" customHeight="1" spans="2:6">
      <c r="B275" s="137">
        <v>45828</v>
      </c>
      <c r="C275" s="155">
        <v>1936.7</v>
      </c>
      <c r="D275" s="135">
        <f t="shared" si="8"/>
        <v>-0.000206536892652487</v>
      </c>
      <c r="E275" s="155">
        <v>25112.4</v>
      </c>
      <c r="F275" s="160">
        <f t="shared" si="9"/>
        <v>-0.0055948455742979</v>
      </c>
    </row>
    <row r="276" ht="14.25" customHeight="1" spans="2:6">
      <c r="B276" s="137">
        <v>45827</v>
      </c>
      <c r="C276" s="155">
        <v>1877</v>
      </c>
      <c r="D276" s="135">
        <f t="shared" si="8"/>
        <v>0.031806073521577</v>
      </c>
      <c r="E276" s="155">
        <v>24793.25</v>
      </c>
      <c r="F276" s="160">
        <f t="shared" si="9"/>
        <v>0.0128724552045416</v>
      </c>
    </row>
    <row r="277" ht="14.25" customHeight="1" spans="2:6">
      <c r="B277" s="137">
        <v>45826</v>
      </c>
      <c r="C277" s="155">
        <v>1865.9</v>
      </c>
      <c r="D277" s="135">
        <f t="shared" si="8"/>
        <v>0.00594887185808446</v>
      </c>
      <c r="E277" s="155">
        <v>24812.05</v>
      </c>
      <c r="F277" s="160">
        <f t="shared" si="9"/>
        <v>-0.000757696361243787</v>
      </c>
    </row>
    <row r="278" ht="14.25" customHeight="1" spans="2:6">
      <c r="B278" s="137">
        <v>45825</v>
      </c>
      <c r="C278" s="155">
        <v>1854.8</v>
      </c>
      <c r="D278" s="135">
        <f t="shared" si="8"/>
        <v>0.0059844727194307</v>
      </c>
      <c r="E278" s="155">
        <v>24853.4</v>
      </c>
      <c r="F278" s="160">
        <f t="shared" si="9"/>
        <v>-0.00166375626674831</v>
      </c>
    </row>
    <row r="279" ht="14.25" customHeight="1" spans="2:6">
      <c r="B279" s="137">
        <v>45824</v>
      </c>
      <c r="C279" s="155">
        <v>1861.3</v>
      </c>
      <c r="D279" s="135">
        <f t="shared" si="8"/>
        <v>-0.00349218288293129</v>
      </c>
      <c r="E279" s="155">
        <v>24946.5</v>
      </c>
      <c r="F279" s="160">
        <f t="shared" si="9"/>
        <v>-0.00373198645100514</v>
      </c>
    </row>
    <row r="280" ht="14.25" customHeight="1" spans="2:6">
      <c r="B280" s="137">
        <v>45821</v>
      </c>
      <c r="C280" s="155">
        <v>1840.4</v>
      </c>
      <c r="D280" s="135">
        <f t="shared" si="8"/>
        <v>0.0113562269071941</v>
      </c>
      <c r="E280" s="155">
        <v>24718.6</v>
      </c>
      <c r="F280" s="160">
        <f t="shared" si="9"/>
        <v>0.0092197778191323</v>
      </c>
    </row>
    <row r="281" ht="14.25" customHeight="1" spans="2:6">
      <c r="B281" s="137">
        <v>45820</v>
      </c>
      <c r="C281" s="155">
        <v>1844.2</v>
      </c>
      <c r="D281" s="135">
        <f t="shared" si="8"/>
        <v>-0.00206051404402996</v>
      </c>
      <c r="E281" s="155">
        <v>24888.2</v>
      </c>
      <c r="F281" s="160">
        <f t="shared" si="9"/>
        <v>-0.00681447432920024</v>
      </c>
    </row>
    <row r="282" ht="14.25" customHeight="1" spans="2:6">
      <c r="B282" s="137">
        <v>45819</v>
      </c>
      <c r="C282" s="155">
        <v>1860.2</v>
      </c>
      <c r="D282" s="135">
        <f t="shared" si="8"/>
        <v>-0.0086012256746586</v>
      </c>
      <c r="E282" s="155">
        <v>25141.4</v>
      </c>
      <c r="F282" s="160">
        <f t="shared" si="9"/>
        <v>-0.0100710382078961</v>
      </c>
    </row>
    <row r="283" ht="14.25" customHeight="1" spans="2:6">
      <c r="B283" s="137">
        <v>45818</v>
      </c>
      <c r="C283" s="155">
        <v>1857.1</v>
      </c>
      <c r="D283" s="135">
        <f t="shared" si="8"/>
        <v>0.00166926929082978</v>
      </c>
      <c r="E283" s="155">
        <v>25104.25</v>
      </c>
      <c r="F283" s="160">
        <f t="shared" si="9"/>
        <v>0.00147982911260058</v>
      </c>
    </row>
    <row r="284" ht="14.25" customHeight="1" spans="2:6">
      <c r="B284" s="137">
        <v>45817</v>
      </c>
      <c r="C284" s="155">
        <v>1865.1</v>
      </c>
      <c r="D284" s="135">
        <f t="shared" si="8"/>
        <v>-0.00428931424588497</v>
      </c>
      <c r="E284" s="155">
        <v>25103.2</v>
      </c>
      <c r="F284" s="160">
        <f t="shared" si="9"/>
        <v>4.18273367539523e-5</v>
      </c>
    </row>
    <row r="285" ht="14.25" customHeight="1" spans="2:6">
      <c r="B285" s="137">
        <v>45814</v>
      </c>
      <c r="C285" s="155">
        <v>1870.2</v>
      </c>
      <c r="D285" s="135">
        <f t="shared" si="8"/>
        <v>-0.00272698107154323</v>
      </c>
      <c r="E285" s="155">
        <v>25003.05</v>
      </c>
      <c r="F285" s="160">
        <f t="shared" si="9"/>
        <v>0.00400551132761806</v>
      </c>
    </row>
    <row r="286" ht="14.25" customHeight="1" spans="2:6">
      <c r="B286" s="137">
        <v>45813</v>
      </c>
      <c r="C286" s="155">
        <v>1878.8</v>
      </c>
      <c r="D286" s="135">
        <f t="shared" si="8"/>
        <v>-0.00457738982329137</v>
      </c>
      <c r="E286" s="155">
        <v>24750.9</v>
      </c>
      <c r="F286" s="160">
        <f t="shared" si="9"/>
        <v>0.0101875083330303</v>
      </c>
    </row>
    <row r="287" ht="14.25" customHeight="1" spans="2:6">
      <c r="B287" s="137">
        <v>45812</v>
      </c>
      <c r="C287" s="155">
        <v>1875.4</v>
      </c>
      <c r="D287" s="135">
        <f t="shared" si="8"/>
        <v>0.00181294657139808</v>
      </c>
      <c r="E287" s="155">
        <v>24620.2</v>
      </c>
      <c r="F287" s="160">
        <f t="shared" si="9"/>
        <v>0.00530864899554029</v>
      </c>
    </row>
    <row r="288" ht="14.25" customHeight="1" spans="2:6">
      <c r="B288" s="137">
        <v>45811</v>
      </c>
      <c r="C288" s="155">
        <v>1841.3</v>
      </c>
      <c r="D288" s="135">
        <f t="shared" si="8"/>
        <v>0.0185195242491718</v>
      </c>
      <c r="E288" s="155">
        <v>24542.5</v>
      </c>
      <c r="F288" s="160">
        <f t="shared" si="9"/>
        <v>0.00316593664052167</v>
      </c>
    </row>
    <row r="289" ht="14.25" customHeight="1" spans="2:6">
      <c r="B289" s="137">
        <v>45810</v>
      </c>
      <c r="C289" s="155">
        <v>1854.1</v>
      </c>
      <c r="D289" s="135">
        <f t="shared" si="8"/>
        <v>-0.00690361900652603</v>
      </c>
      <c r="E289" s="155">
        <v>24716.6</v>
      </c>
      <c r="F289" s="160">
        <f t="shared" si="9"/>
        <v>-0.00704384907309252</v>
      </c>
    </row>
    <row r="290" ht="14.25" customHeight="1" spans="2:6">
      <c r="B290" s="137">
        <v>45807</v>
      </c>
      <c r="C290" s="155">
        <v>1856.2</v>
      </c>
      <c r="D290" s="135">
        <f t="shared" si="8"/>
        <v>-0.00113134360521505</v>
      </c>
      <c r="E290" s="155">
        <v>24750.7</v>
      </c>
      <c r="F290" s="160">
        <f t="shared" si="9"/>
        <v>-0.00137773881142766</v>
      </c>
    </row>
    <row r="291" ht="14.25" customHeight="1" spans="2:6">
      <c r="B291" s="137">
        <v>45806</v>
      </c>
      <c r="C291" s="155">
        <v>1863.6</v>
      </c>
      <c r="D291" s="135">
        <f t="shared" si="8"/>
        <v>-0.0039708091865206</v>
      </c>
      <c r="E291" s="155">
        <v>24833.6</v>
      </c>
      <c r="F291" s="160">
        <f t="shared" si="9"/>
        <v>-0.00333821918690802</v>
      </c>
    </row>
    <row r="292" ht="14.25" customHeight="1" spans="2:6">
      <c r="B292" s="137">
        <v>45805</v>
      </c>
      <c r="C292" s="155">
        <v>1856.1</v>
      </c>
      <c r="D292" s="135">
        <f t="shared" si="8"/>
        <v>0.00404073056408594</v>
      </c>
      <c r="E292" s="155">
        <v>24752.45</v>
      </c>
      <c r="F292" s="160">
        <f t="shared" si="9"/>
        <v>0.00327846334403259</v>
      </c>
    </row>
    <row r="293" ht="14.25" customHeight="1" spans="2:6">
      <c r="B293" s="137">
        <v>45804</v>
      </c>
      <c r="C293" s="155">
        <v>1843.8</v>
      </c>
      <c r="D293" s="135">
        <f t="shared" si="8"/>
        <v>0.00667100553205335</v>
      </c>
      <c r="E293" s="155">
        <v>24826.2</v>
      </c>
      <c r="F293" s="160">
        <f t="shared" si="9"/>
        <v>-0.00297065197251289</v>
      </c>
    </row>
    <row r="294" ht="14.25" customHeight="1" spans="2:6">
      <c r="B294" s="137">
        <v>45803</v>
      </c>
      <c r="C294" s="155">
        <v>1847.4</v>
      </c>
      <c r="D294" s="135">
        <f t="shared" si="8"/>
        <v>-0.00194868463786946</v>
      </c>
      <c r="E294" s="155">
        <v>25001.15</v>
      </c>
      <c r="F294" s="160">
        <f t="shared" si="9"/>
        <v>-0.00699767810680707</v>
      </c>
    </row>
    <row r="295" ht="14.25" customHeight="1" spans="2:6">
      <c r="B295" s="137">
        <v>45800</v>
      </c>
      <c r="C295" s="155">
        <v>1831.7</v>
      </c>
      <c r="D295" s="135">
        <f t="shared" si="8"/>
        <v>0.00857127258830603</v>
      </c>
      <c r="E295" s="155">
        <v>24853.15</v>
      </c>
      <c r="F295" s="160">
        <f t="shared" si="9"/>
        <v>0.00595497954987589</v>
      </c>
    </row>
    <row r="296" ht="14.25" customHeight="1" spans="2:6">
      <c r="B296" s="137">
        <v>45799</v>
      </c>
      <c r="C296" s="155">
        <v>1831.4</v>
      </c>
      <c r="D296" s="135">
        <f t="shared" si="8"/>
        <v>0.000163809107786461</v>
      </c>
      <c r="E296" s="155">
        <v>24609.7</v>
      </c>
      <c r="F296" s="160">
        <f t="shared" si="9"/>
        <v>0.00989244078554385</v>
      </c>
    </row>
    <row r="297" ht="14.25" customHeight="1" spans="2:6">
      <c r="B297" s="137">
        <v>45798</v>
      </c>
      <c r="C297" s="155">
        <v>1822.5</v>
      </c>
      <c r="D297" s="135">
        <f t="shared" si="8"/>
        <v>0.0048834019204389</v>
      </c>
      <c r="E297" s="155">
        <v>24813.45</v>
      </c>
      <c r="F297" s="160">
        <f t="shared" si="9"/>
        <v>-0.00821127251551079</v>
      </c>
    </row>
    <row r="298" ht="14.25" customHeight="1" spans="2:6">
      <c r="B298" s="137">
        <v>45797</v>
      </c>
      <c r="C298" s="155">
        <v>1808.9</v>
      </c>
      <c r="D298" s="135">
        <f t="shared" si="8"/>
        <v>0.00751838133672389</v>
      </c>
      <c r="E298" s="155">
        <v>24683.9</v>
      </c>
      <c r="F298" s="160">
        <f t="shared" si="9"/>
        <v>0.00524836026721864</v>
      </c>
    </row>
    <row r="299" ht="14.25" customHeight="1" spans="2:6">
      <c r="B299" s="137">
        <v>45796</v>
      </c>
      <c r="C299" s="155">
        <v>1818.3</v>
      </c>
      <c r="D299" s="135">
        <f t="shared" si="8"/>
        <v>-0.00516966397184171</v>
      </c>
      <c r="E299" s="155">
        <v>24945.45</v>
      </c>
      <c r="F299" s="160">
        <f t="shared" si="9"/>
        <v>-0.0104848780038043</v>
      </c>
    </row>
    <row r="300" ht="14.25" customHeight="1" spans="2:6">
      <c r="B300" s="137">
        <v>45793</v>
      </c>
      <c r="C300" s="155">
        <v>1814</v>
      </c>
      <c r="D300" s="135">
        <f t="shared" si="8"/>
        <v>0.00237045203969122</v>
      </c>
      <c r="E300" s="155">
        <v>25019.8</v>
      </c>
      <c r="F300" s="160">
        <f t="shared" si="9"/>
        <v>-0.00297164645600678</v>
      </c>
    </row>
    <row r="301" ht="14.25" customHeight="1" spans="2:6">
      <c r="B301" s="137">
        <v>45792</v>
      </c>
      <c r="C301" s="155">
        <v>1867.2</v>
      </c>
      <c r="D301" s="135">
        <f t="shared" si="8"/>
        <v>-0.0284918594687232</v>
      </c>
      <c r="E301" s="155">
        <v>25062.1</v>
      </c>
      <c r="F301" s="160">
        <f t="shared" si="9"/>
        <v>-0.00168780748620423</v>
      </c>
    </row>
    <row r="302" ht="14.25" customHeight="1" spans="2:6">
      <c r="B302" s="137">
        <v>45791</v>
      </c>
      <c r="C302" s="155">
        <v>1834.2</v>
      </c>
      <c r="D302" s="135">
        <f t="shared" si="8"/>
        <v>0.0179914949296696</v>
      </c>
      <c r="E302" s="155">
        <v>24666.9</v>
      </c>
      <c r="F302" s="160">
        <f t="shared" si="9"/>
        <v>0.016021470067175</v>
      </c>
    </row>
    <row r="303" ht="14.25" customHeight="1" spans="2:6">
      <c r="B303" s="137">
        <v>45790</v>
      </c>
      <c r="C303" s="155">
        <v>1820.6</v>
      </c>
      <c r="D303" s="135">
        <f t="shared" si="8"/>
        <v>0.00747006481379775</v>
      </c>
      <c r="E303" s="155">
        <v>24578.35</v>
      </c>
      <c r="F303" s="160">
        <f t="shared" si="9"/>
        <v>0.00360276422135763</v>
      </c>
    </row>
    <row r="304" ht="14.25" customHeight="1" spans="2:6">
      <c r="B304" s="137">
        <v>45789</v>
      </c>
      <c r="C304" s="155">
        <v>1870.8</v>
      </c>
      <c r="D304" s="135">
        <f t="shared" si="8"/>
        <v>-0.0268334402394698</v>
      </c>
      <c r="E304" s="155">
        <v>24924.7</v>
      </c>
      <c r="F304" s="160">
        <f t="shared" si="9"/>
        <v>-0.0138958543131914</v>
      </c>
    </row>
    <row r="305" ht="14.25" customHeight="1" spans="2:6">
      <c r="B305" s="137">
        <v>45786</v>
      </c>
      <c r="C305" s="155">
        <v>1848.4</v>
      </c>
      <c r="D305" s="135">
        <f t="shared" si="8"/>
        <v>0.0121185890499891</v>
      </c>
      <c r="E305" s="155">
        <v>24008</v>
      </c>
      <c r="F305" s="160">
        <f t="shared" si="9"/>
        <v>0.0381831056314561</v>
      </c>
    </row>
    <row r="306" ht="14.25" customHeight="1" spans="2:6">
      <c r="B306" s="137">
        <v>45785</v>
      </c>
      <c r="C306" s="155">
        <v>1874.9</v>
      </c>
      <c r="D306" s="135">
        <f t="shared" si="8"/>
        <v>-0.0141340871513147</v>
      </c>
      <c r="E306" s="155">
        <v>24273.8</v>
      </c>
      <c r="F306" s="160">
        <f t="shared" si="9"/>
        <v>-0.0109500778617274</v>
      </c>
    </row>
    <row r="307" ht="14.25" customHeight="1" spans="2:6">
      <c r="B307" s="137">
        <v>45784</v>
      </c>
      <c r="C307" s="155">
        <v>1896.8</v>
      </c>
      <c r="D307" s="135">
        <f t="shared" si="8"/>
        <v>-0.0115457612821593</v>
      </c>
      <c r="E307" s="155">
        <v>24414.4</v>
      </c>
      <c r="F307" s="160">
        <f t="shared" si="9"/>
        <v>-0.00575889638901639</v>
      </c>
    </row>
    <row r="308" ht="14.25" customHeight="1" spans="2:6">
      <c r="B308" s="137">
        <v>45783</v>
      </c>
      <c r="C308" s="155">
        <v>1901</v>
      </c>
      <c r="D308" s="135">
        <f t="shared" si="8"/>
        <v>-0.00220936349289846</v>
      </c>
      <c r="E308" s="155">
        <v>24379.6</v>
      </c>
      <c r="F308" s="160">
        <f t="shared" si="9"/>
        <v>0.00142742292736564</v>
      </c>
    </row>
    <row r="309" ht="14.25" customHeight="1" spans="2:6">
      <c r="B309" s="137">
        <v>45782</v>
      </c>
      <c r="C309" s="155">
        <v>1866</v>
      </c>
      <c r="D309" s="135">
        <f t="shared" si="8"/>
        <v>0.0187566988210075</v>
      </c>
      <c r="E309" s="155">
        <v>24461.15</v>
      </c>
      <c r="F309" s="160">
        <f t="shared" si="9"/>
        <v>-0.00333385797478869</v>
      </c>
    </row>
    <row r="310" ht="14.25" customHeight="1" spans="2:6">
      <c r="B310" s="137">
        <v>45779</v>
      </c>
      <c r="C310" s="155">
        <v>1851.9</v>
      </c>
      <c r="D310" s="135">
        <f t="shared" si="8"/>
        <v>0.00761380204114692</v>
      </c>
      <c r="E310" s="155">
        <v>24346.7</v>
      </c>
      <c r="F310" s="160">
        <f t="shared" si="9"/>
        <v>0.00470084241396163</v>
      </c>
    </row>
    <row r="311" ht="14.25" customHeight="1" spans="2:6">
      <c r="B311" s="137">
        <v>45777</v>
      </c>
      <c r="C311" s="155">
        <v>1864.5</v>
      </c>
      <c r="D311" s="135">
        <f t="shared" si="8"/>
        <v>-0.00675784392598544</v>
      </c>
      <c r="E311" s="155">
        <v>24334.2</v>
      </c>
      <c r="F311" s="160">
        <f t="shared" si="9"/>
        <v>0.000513680334673028</v>
      </c>
    </row>
    <row r="312" ht="14.25" customHeight="1" spans="2:6">
      <c r="B312" s="137">
        <v>45776</v>
      </c>
      <c r="C312" s="155">
        <v>1823.8</v>
      </c>
      <c r="D312" s="135">
        <f t="shared" si="8"/>
        <v>0.0223160434258143</v>
      </c>
      <c r="E312" s="155">
        <v>24335.95</v>
      </c>
      <c r="F312" s="160">
        <f t="shared" si="9"/>
        <v>-7.19100754233981e-5</v>
      </c>
    </row>
    <row r="313" ht="14.25" customHeight="1" spans="2:6">
      <c r="B313" s="137">
        <v>45775</v>
      </c>
      <c r="C313" s="155">
        <v>1821.8</v>
      </c>
      <c r="D313" s="135">
        <f t="shared" si="8"/>
        <v>0.00109781534745856</v>
      </c>
      <c r="E313" s="155">
        <v>24328.5</v>
      </c>
      <c r="F313" s="160">
        <f t="shared" si="9"/>
        <v>0.000306225209116828</v>
      </c>
    </row>
    <row r="314" ht="14.25" customHeight="1" spans="2:6">
      <c r="B314" s="137">
        <v>45772</v>
      </c>
      <c r="C314" s="155">
        <v>1817.2</v>
      </c>
      <c r="D314" s="135">
        <f t="shared" si="8"/>
        <v>0.0025313669381466</v>
      </c>
      <c r="E314" s="155">
        <v>24039.35</v>
      </c>
      <c r="F314" s="160">
        <f t="shared" si="9"/>
        <v>0.0120281954378967</v>
      </c>
    </row>
    <row r="315" ht="14.25" customHeight="1" spans="2:6">
      <c r="B315" s="137">
        <v>45771</v>
      </c>
      <c r="C315" s="155">
        <v>1845.6</v>
      </c>
      <c r="D315" s="135">
        <f t="shared" si="8"/>
        <v>-0.0153879497182488</v>
      </c>
      <c r="E315" s="155">
        <v>24246.7</v>
      </c>
      <c r="F315" s="160">
        <f t="shared" si="9"/>
        <v>-0.0085516791975816</v>
      </c>
    </row>
    <row r="316" ht="14.25" customHeight="1" spans="2:6">
      <c r="B316" s="137">
        <v>45770</v>
      </c>
      <c r="C316" s="155">
        <v>1881.6</v>
      </c>
      <c r="D316" s="135">
        <f t="shared" si="8"/>
        <v>-0.0191326530612245</v>
      </c>
      <c r="E316" s="155">
        <v>24328.95</v>
      </c>
      <c r="F316" s="160">
        <f t="shared" si="9"/>
        <v>-0.00338074598369431</v>
      </c>
    </row>
    <row r="317" ht="14.25" customHeight="1" spans="2:6">
      <c r="B317" s="137">
        <v>45769</v>
      </c>
      <c r="C317" s="155">
        <v>1852.2</v>
      </c>
      <c r="D317" s="135">
        <f t="shared" si="8"/>
        <v>0.0158730158730158</v>
      </c>
      <c r="E317" s="155">
        <v>24167.25</v>
      </c>
      <c r="F317" s="160">
        <f t="shared" si="9"/>
        <v>0.00669087297892812</v>
      </c>
    </row>
    <row r="318" ht="14.25" customHeight="1" spans="2:6">
      <c r="B318" s="137">
        <v>45768</v>
      </c>
      <c r="C318" s="155">
        <v>1883.4</v>
      </c>
      <c r="D318" s="135">
        <f t="shared" si="8"/>
        <v>-0.016565785281937</v>
      </c>
      <c r="E318" s="155">
        <v>24125.55</v>
      </c>
      <c r="F318" s="160">
        <f t="shared" si="9"/>
        <v>0.00172845800406618</v>
      </c>
    </row>
    <row r="319" ht="14.25" customHeight="1" spans="2:6">
      <c r="B319" s="137">
        <v>45764</v>
      </c>
      <c r="C319" s="155">
        <v>1889.1</v>
      </c>
      <c r="D319" s="135">
        <f t="shared" si="8"/>
        <v>-0.00301730983007775</v>
      </c>
      <c r="E319" s="155">
        <v>23851.65</v>
      </c>
      <c r="F319" s="160">
        <f t="shared" si="9"/>
        <v>0.0114834822748111</v>
      </c>
    </row>
    <row r="320" ht="14.25" customHeight="1" spans="2:6">
      <c r="B320" s="137">
        <v>45763</v>
      </c>
      <c r="C320" s="155">
        <v>1822.6</v>
      </c>
      <c r="D320" s="135">
        <f t="shared" si="8"/>
        <v>0.0364863381981784</v>
      </c>
      <c r="E320" s="155">
        <v>23437.2</v>
      </c>
      <c r="F320" s="160">
        <f t="shared" si="9"/>
        <v>0.0176834263478574</v>
      </c>
    </row>
    <row r="321" ht="14.25" customHeight="1" spans="2:6">
      <c r="B321" s="137">
        <v>45762</v>
      </c>
      <c r="C321" s="155">
        <v>1798.8</v>
      </c>
      <c r="D321" s="135">
        <f t="shared" si="8"/>
        <v>0.0132310429175004</v>
      </c>
      <c r="E321" s="155">
        <v>23328.55</v>
      </c>
      <c r="F321" s="160">
        <f t="shared" si="9"/>
        <v>0.00465738333501231</v>
      </c>
    </row>
    <row r="322" ht="14.25" customHeight="1" spans="2:6">
      <c r="B322" s="137">
        <v>45758</v>
      </c>
      <c r="C322" s="155">
        <v>1756.6</v>
      </c>
      <c r="D322" s="135">
        <f t="shared" si="8"/>
        <v>0.0240236821131732</v>
      </c>
      <c r="E322" s="155">
        <v>22828.55</v>
      </c>
      <c r="F322" s="160">
        <f t="shared" si="9"/>
        <v>0.0219023985316633</v>
      </c>
    </row>
    <row r="323" ht="14.25" customHeight="1" spans="2:6">
      <c r="B323" s="137">
        <v>45756</v>
      </c>
      <c r="C323" s="155">
        <v>1715.55</v>
      </c>
      <c r="D323" s="135">
        <f t="shared" si="8"/>
        <v>0.02392818629594</v>
      </c>
      <c r="E323" s="155">
        <v>22399.15</v>
      </c>
      <c r="F323" s="160">
        <f t="shared" si="9"/>
        <v>0.0191703703042303</v>
      </c>
    </row>
    <row r="324" ht="14.25" customHeight="1" spans="2:6">
      <c r="B324" s="137">
        <v>45755</v>
      </c>
      <c r="C324" s="155">
        <v>1720.4</v>
      </c>
      <c r="D324" s="135">
        <f t="shared" si="8"/>
        <v>-0.00281911183445716</v>
      </c>
      <c r="E324" s="155">
        <v>22535.85</v>
      </c>
      <c r="F324" s="160">
        <f t="shared" si="9"/>
        <v>-0.00606589056991402</v>
      </c>
    </row>
    <row r="325" ht="14.25" customHeight="1" spans="2:6">
      <c r="B325" s="137">
        <v>45754</v>
      </c>
      <c r="C325" s="155">
        <v>1686.65</v>
      </c>
      <c r="D325" s="135">
        <f t="shared" si="8"/>
        <v>0.0200100791509799</v>
      </c>
      <c r="E325" s="155">
        <v>22161.6</v>
      </c>
      <c r="F325" s="160">
        <f t="shared" si="9"/>
        <v>0.0168873186051548</v>
      </c>
    </row>
    <row r="326" ht="14.25" customHeight="1" spans="2:6">
      <c r="B326" s="137">
        <v>45751</v>
      </c>
      <c r="C326" s="155">
        <v>1743.45</v>
      </c>
      <c r="D326" s="135">
        <f t="shared" si="8"/>
        <v>-0.0325790817058131</v>
      </c>
      <c r="E326" s="155">
        <v>22904.45</v>
      </c>
      <c r="F326" s="160">
        <f t="shared" si="9"/>
        <v>-0.0324325622313569</v>
      </c>
    </row>
    <row r="327" ht="14.25" customHeight="1" spans="2:6">
      <c r="B327" s="137">
        <v>45750</v>
      </c>
      <c r="C327" s="155">
        <v>1746</v>
      </c>
      <c r="D327" s="135">
        <f t="shared" si="8"/>
        <v>-0.00146048109965635</v>
      </c>
      <c r="E327" s="155">
        <v>23250.1</v>
      </c>
      <c r="F327" s="160">
        <f t="shared" si="9"/>
        <v>-0.0148666027242893</v>
      </c>
    </row>
    <row r="328" ht="14.25" customHeight="1" spans="2:6">
      <c r="B328" s="137">
        <v>45749</v>
      </c>
      <c r="C328" s="155">
        <v>1754.6</v>
      </c>
      <c r="D328" s="135">
        <f t="shared" si="8"/>
        <v>-0.0049014020289524</v>
      </c>
      <c r="E328" s="155">
        <v>23332.35</v>
      </c>
      <c r="F328" s="160">
        <f t="shared" si="9"/>
        <v>-0.00352514855983221</v>
      </c>
    </row>
    <row r="329" ht="14.25" customHeight="1" spans="2:6">
      <c r="B329" s="137">
        <v>45748</v>
      </c>
      <c r="C329" s="155">
        <v>1724.15</v>
      </c>
      <c r="D329" s="135">
        <f t="shared" ref="D329:D391" si="10">C328/C329-1</f>
        <v>0.0176608763738653</v>
      </c>
      <c r="E329" s="155">
        <v>23165.7</v>
      </c>
      <c r="F329" s="160">
        <f t="shared" ref="F329:F391" si="11">E328/E329-1</f>
        <v>0.00719382535386348</v>
      </c>
    </row>
    <row r="330" ht="14.25" customHeight="1" spans="2:6">
      <c r="B330" s="137">
        <v>45744</v>
      </c>
      <c r="C330" s="155">
        <v>1733.4</v>
      </c>
      <c r="D330" s="135">
        <f t="shared" si="10"/>
        <v>-0.00533633321795313</v>
      </c>
      <c r="E330" s="155">
        <v>23519.35</v>
      </c>
      <c r="F330" s="160">
        <f t="shared" si="11"/>
        <v>-0.0150365550068347</v>
      </c>
    </row>
    <row r="331" ht="14.25" customHeight="1" spans="2:6">
      <c r="B331" s="137">
        <v>45743</v>
      </c>
      <c r="C331" s="155">
        <v>1724.7</v>
      </c>
      <c r="D331" s="135">
        <f t="shared" si="10"/>
        <v>0.00504435554009386</v>
      </c>
      <c r="E331" s="155">
        <v>23591.95</v>
      </c>
      <c r="F331" s="160">
        <f t="shared" si="11"/>
        <v>-0.00307732086580392</v>
      </c>
    </row>
    <row r="332" ht="14.25" customHeight="1" spans="2:6">
      <c r="B332" s="137">
        <v>45742</v>
      </c>
      <c r="C332" s="155">
        <v>1738.55</v>
      </c>
      <c r="D332" s="135">
        <f t="shared" si="10"/>
        <v>-0.00796640878893329</v>
      </c>
      <c r="E332" s="155">
        <v>23486.85</v>
      </c>
      <c r="F332" s="160">
        <f t="shared" si="11"/>
        <v>0.00447484443422597</v>
      </c>
    </row>
    <row r="333" ht="14.25" customHeight="1" spans="2:6">
      <c r="B333" s="137">
        <v>45741</v>
      </c>
      <c r="C333" s="155">
        <v>1730.5</v>
      </c>
      <c r="D333" s="135">
        <f t="shared" si="10"/>
        <v>0.00465183472984676</v>
      </c>
      <c r="E333" s="155">
        <v>23668.65</v>
      </c>
      <c r="F333" s="160">
        <f t="shared" si="11"/>
        <v>-0.0076810464475161</v>
      </c>
    </row>
    <row r="334" ht="14.25" customHeight="1" spans="2:6">
      <c r="B334" s="137">
        <v>45740</v>
      </c>
      <c r="C334" s="155">
        <v>1718.8</v>
      </c>
      <c r="D334" s="135">
        <f t="shared" si="10"/>
        <v>0.00680707470328135</v>
      </c>
      <c r="E334" s="155">
        <v>23658.35</v>
      </c>
      <c r="F334" s="160">
        <f t="shared" si="11"/>
        <v>0.000435364258285276</v>
      </c>
    </row>
    <row r="335" ht="14.25" customHeight="1" spans="2:6">
      <c r="B335" s="137">
        <v>45737</v>
      </c>
      <c r="C335" s="155">
        <v>1725.8</v>
      </c>
      <c r="D335" s="135">
        <f t="shared" si="10"/>
        <v>-0.00405608992930817</v>
      </c>
      <c r="E335" s="155">
        <v>23350.4</v>
      </c>
      <c r="F335" s="160">
        <f t="shared" si="11"/>
        <v>0.0131882109085923</v>
      </c>
    </row>
    <row r="336" ht="14.25" customHeight="1" spans="2:6">
      <c r="B336" s="137">
        <v>45736</v>
      </c>
      <c r="C336" s="155">
        <v>1705.25</v>
      </c>
      <c r="D336" s="135">
        <f t="shared" si="10"/>
        <v>0.012051018912183</v>
      </c>
      <c r="E336" s="155">
        <v>23190.65</v>
      </c>
      <c r="F336" s="160">
        <f t="shared" si="11"/>
        <v>0.00688855206732031</v>
      </c>
    </row>
    <row r="337" ht="14.25" customHeight="1" spans="2:6">
      <c r="B337" s="137">
        <v>45735</v>
      </c>
      <c r="C337" s="155">
        <v>1637.15</v>
      </c>
      <c r="D337" s="135">
        <f t="shared" si="10"/>
        <v>0.0415966771523684</v>
      </c>
      <c r="E337" s="155">
        <v>22907.6</v>
      </c>
      <c r="F337" s="160">
        <f t="shared" si="11"/>
        <v>0.0123561612739878</v>
      </c>
    </row>
    <row r="338" ht="14.25" customHeight="1" spans="2:6">
      <c r="B338" s="137">
        <v>45734</v>
      </c>
      <c r="C338" s="155">
        <v>1627.3</v>
      </c>
      <c r="D338" s="135">
        <f t="shared" si="10"/>
        <v>0.00605297117925407</v>
      </c>
      <c r="E338" s="155">
        <v>22834.3</v>
      </c>
      <c r="F338" s="160">
        <f t="shared" si="11"/>
        <v>0.00321008307677473</v>
      </c>
    </row>
    <row r="339" ht="14.25" customHeight="1" spans="2:6">
      <c r="B339" s="137">
        <v>45733</v>
      </c>
      <c r="C339" s="155">
        <v>1639.15</v>
      </c>
      <c r="D339" s="135">
        <f t="shared" si="10"/>
        <v>-0.00722935667876656</v>
      </c>
      <c r="E339" s="155">
        <v>22508.75</v>
      </c>
      <c r="F339" s="160">
        <f t="shared" si="11"/>
        <v>0.0144632642861109</v>
      </c>
    </row>
    <row r="340" ht="14.25" customHeight="1" spans="2:6">
      <c r="B340" s="137">
        <v>45729</v>
      </c>
      <c r="C340" s="155">
        <v>1632.5</v>
      </c>
      <c r="D340" s="135">
        <f t="shared" si="10"/>
        <v>0.00407350689127117</v>
      </c>
      <c r="E340" s="155">
        <v>22397.2</v>
      </c>
      <c r="F340" s="160">
        <f t="shared" si="11"/>
        <v>0.00498053328094583</v>
      </c>
    </row>
    <row r="341" ht="14.25" customHeight="1" spans="2:6">
      <c r="B341" s="137">
        <v>45728</v>
      </c>
      <c r="C341" s="155">
        <v>1642.85</v>
      </c>
      <c r="D341" s="135">
        <f t="shared" si="10"/>
        <v>-0.00630002739142344</v>
      </c>
      <c r="E341" s="155">
        <v>22470.5</v>
      </c>
      <c r="F341" s="160">
        <f t="shared" si="11"/>
        <v>-0.00326205469393204</v>
      </c>
    </row>
    <row r="342" ht="14.25" customHeight="1" spans="2:6">
      <c r="B342" s="137">
        <v>45727</v>
      </c>
      <c r="C342" s="155">
        <v>1662.95</v>
      </c>
      <c r="D342" s="135">
        <f t="shared" si="10"/>
        <v>-0.0120869539072131</v>
      </c>
      <c r="E342" s="155">
        <v>22497.9</v>
      </c>
      <c r="F342" s="160">
        <f t="shared" si="11"/>
        <v>-0.00121789144764628</v>
      </c>
    </row>
    <row r="343" ht="14.25" customHeight="1" spans="2:6">
      <c r="B343" s="137">
        <v>45726</v>
      </c>
      <c r="C343" s="155">
        <v>1630.95</v>
      </c>
      <c r="D343" s="135">
        <f t="shared" si="10"/>
        <v>0.0196204665992212</v>
      </c>
      <c r="E343" s="155">
        <v>22460.3</v>
      </c>
      <c r="F343" s="160">
        <f t="shared" si="11"/>
        <v>0.00167406490563349</v>
      </c>
    </row>
    <row r="344" ht="14.25" customHeight="1" spans="2:6">
      <c r="B344" s="137">
        <v>45723</v>
      </c>
      <c r="C344" s="155">
        <v>1630.7</v>
      </c>
      <c r="D344" s="135">
        <f t="shared" si="10"/>
        <v>0.000153308395167695</v>
      </c>
      <c r="E344" s="155">
        <v>22552.5</v>
      </c>
      <c r="F344" s="160">
        <f t="shared" si="11"/>
        <v>-0.00408823855448404</v>
      </c>
    </row>
    <row r="345" ht="14.25" customHeight="1" spans="2:6">
      <c r="B345" s="137">
        <v>45722</v>
      </c>
      <c r="C345" s="155">
        <v>1626.9</v>
      </c>
      <c r="D345" s="135">
        <f t="shared" si="10"/>
        <v>0.00233573053045677</v>
      </c>
      <c r="E345" s="155">
        <v>22544.7</v>
      </c>
      <c r="F345" s="160">
        <f t="shared" si="11"/>
        <v>0.000345979321082046</v>
      </c>
    </row>
    <row r="346" ht="14.25" customHeight="1" spans="2:6">
      <c r="B346" s="137">
        <v>45721</v>
      </c>
      <c r="C346" s="155">
        <v>1618.25</v>
      </c>
      <c r="D346" s="135">
        <f t="shared" si="10"/>
        <v>0.00534528039548898</v>
      </c>
      <c r="E346" s="155">
        <v>22337.3</v>
      </c>
      <c r="F346" s="160">
        <f t="shared" si="11"/>
        <v>0.00928491805186837</v>
      </c>
    </row>
    <row r="347" ht="14.25" customHeight="1" spans="2:6">
      <c r="B347" s="137">
        <v>45720</v>
      </c>
      <c r="C347" s="155">
        <v>1575.35</v>
      </c>
      <c r="D347" s="135">
        <f t="shared" si="10"/>
        <v>0.0272320436728346</v>
      </c>
      <c r="E347" s="155">
        <v>22082.65</v>
      </c>
      <c r="F347" s="160">
        <f t="shared" si="11"/>
        <v>0.0115316775839855</v>
      </c>
    </row>
    <row r="348" ht="14.25" customHeight="1" spans="2:6">
      <c r="B348" s="137">
        <v>45719</v>
      </c>
      <c r="C348" s="155">
        <v>1595.8</v>
      </c>
      <c r="D348" s="135">
        <f t="shared" si="10"/>
        <v>-0.0128148890838451</v>
      </c>
      <c r="E348" s="155">
        <v>22119.3</v>
      </c>
      <c r="F348" s="160">
        <f t="shared" si="11"/>
        <v>-0.00165692404370832</v>
      </c>
    </row>
    <row r="349" ht="14.25" customHeight="1" spans="2:6">
      <c r="B349" s="137">
        <v>45716</v>
      </c>
      <c r="C349" s="155">
        <v>1570.2</v>
      </c>
      <c r="D349" s="135">
        <f t="shared" si="10"/>
        <v>0.0163036555852758</v>
      </c>
      <c r="E349" s="155">
        <v>22124.7</v>
      </c>
      <c r="F349" s="160">
        <f t="shared" si="11"/>
        <v>-0.00024407110604896</v>
      </c>
    </row>
    <row r="350" ht="14.25" customHeight="1" spans="2:6">
      <c r="B350" s="137">
        <v>45715</v>
      </c>
      <c r="C350" s="155">
        <v>1650.4</v>
      </c>
      <c r="D350" s="135">
        <f t="shared" si="10"/>
        <v>-0.0485942801745032</v>
      </c>
      <c r="E350" s="155">
        <v>22545.05</v>
      </c>
      <c r="F350" s="160">
        <f t="shared" si="11"/>
        <v>-0.0186448910071167</v>
      </c>
    </row>
    <row r="351" ht="14.25" customHeight="1" spans="2:6">
      <c r="B351" s="137">
        <v>45713</v>
      </c>
      <c r="C351" s="155">
        <v>1641.4</v>
      </c>
      <c r="D351" s="135">
        <f t="shared" si="10"/>
        <v>0.00548312416230057</v>
      </c>
      <c r="E351" s="155">
        <v>22547.55</v>
      </c>
      <c r="F351" s="160">
        <f t="shared" si="11"/>
        <v>-0.000110876791491799</v>
      </c>
    </row>
    <row r="352" ht="14.25" customHeight="1" spans="2:6">
      <c r="B352" s="137">
        <v>45712</v>
      </c>
      <c r="C352" s="155">
        <v>1601.3</v>
      </c>
      <c r="D352" s="135">
        <f t="shared" si="10"/>
        <v>0.0250421532504841</v>
      </c>
      <c r="E352" s="155">
        <v>22553.35</v>
      </c>
      <c r="F352" s="160">
        <f t="shared" si="11"/>
        <v>-0.000257168003866326</v>
      </c>
    </row>
    <row r="353" ht="14.25" customHeight="1" spans="2:6">
      <c r="B353" s="137">
        <v>45709</v>
      </c>
      <c r="C353" s="155">
        <v>1639.25</v>
      </c>
      <c r="D353" s="135">
        <f t="shared" si="10"/>
        <v>-0.0231508311727925</v>
      </c>
      <c r="E353" s="155">
        <v>22795.9</v>
      </c>
      <c r="F353" s="160">
        <f t="shared" si="11"/>
        <v>-0.0106400712408812</v>
      </c>
    </row>
    <row r="354" ht="14.25" customHeight="1" spans="2:6">
      <c r="B354" s="137">
        <v>45708</v>
      </c>
      <c r="C354" s="155">
        <v>1643.5</v>
      </c>
      <c r="D354" s="135">
        <f t="shared" si="10"/>
        <v>-0.00258594463036199</v>
      </c>
      <c r="E354" s="155">
        <v>22913.15</v>
      </c>
      <c r="F354" s="160">
        <f t="shared" si="11"/>
        <v>-0.00511714888612003</v>
      </c>
    </row>
    <row r="355" ht="14.25" customHeight="1" spans="2:6">
      <c r="B355" s="137">
        <v>45707</v>
      </c>
      <c r="C355" s="155">
        <v>1645.2</v>
      </c>
      <c r="D355" s="135">
        <f t="shared" si="10"/>
        <v>-0.00103330902017995</v>
      </c>
      <c r="E355" s="155">
        <v>22932.9</v>
      </c>
      <c r="F355" s="160">
        <f t="shared" si="11"/>
        <v>-0.000861208133293268</v>
      </c>
    </row>
    <row r="356" ht="14.25" customHeight="1" spans="2:6">
      <c r="B356" s="137">
        <v>45706</v>
      </c>
      <c r="C356" s="155">
        <v>1668.9</v>
      </c>
      <c r="D356" s="135">
        <f t="shared" si="10"/>
        <v>-0.014200970699263</v>
      </c>
      <c r="E356" s="155">
        <v>22945.3</v>
      </c>
      <c r="F356" s="160">
        <f t="shared" si="11"/>
        <v>-0.000540415684257667</v>
      </c>
    </row>
    <row r="357" ht="14.25" customHeight="1" spans="2:6">
      <c r="B357" s="137">
        <v>45705</v>
      </c>
      <c r="C357" s="155">
        <v>1675.55</v>
      </c>
      <c r="D357" s="135">
        <f t="shared" si="10"/>
        <v>-0.00396884605055048</v>
      </c>
      <c r="E357" s="155">
        <v>22959.5</v>
      </c>
      <c r="F357" s="160">
        <f t="shared" si="11"/>
        <v>-0.000618480367603813</v>
      </c>
    </row>
    <row r="358" ht="14.25" customHeight="1" spans="2:6">
      <c r="B358" s="137">
        <v>45702</v>
      </c>
      <c r="C358" s="155">
        <v>1717.05</v>
      </c>
      <c r="D358" s="135">
        <f t="shared" si="10"/>
        <v>-0.0241693602399464</v>
      </c>
      <c r="E358" s="155">
        <v>22929.25</v>
      </c>
      <c r="F358" s="160">
        <f t="shared" si="11"/>
        <v>0.00131927559776268</v>
      </c>
    </row>
    <row r="359" ht="14.25" customHeight="1" spans="2:6">
      <c r="B359" s="137">
        <v>45701</v>
      </c>
      <c r="C359" s="155">
        <v>1714.6</v>
      </c>
      <c r="D359" s="135">
        <f t="shared" si="10"/>
        <v>0.00142890470080492</v>
      </c>
      <c r="E359" s="155">
        <v>23031.4</v>
      </c>
      <c r="F359" s="160">
        <f t="shared" si="11"/>
        <v>-0.00443524926839023</v>
      </c>
    </row>
    <row r="360" ht="14.25" customHeight="1" spans="2:6">
      <c r="B360" s="137">
        <v>45700</v>
      </c>
      <c r="C360" s="155">
        <v>1711.55</v>
      </c>
      <c r="D360" s="135">
        <f t="shared" si="10"/>
        <v>0.00178201045835635</v>
      </c>
      <c r="E360" s="155">
        <v>23045.25</v>
      </c>
      <c r="F360" s="160">
        <f t="shared" si="11"/>
        <v>-0.000600991527538119</v>
      </c>
    </row>
    <row r="361" ht="14.25" customHeight="1" spans="2:6">
      <c r="B361" s="137">
        <v>45699</v>
      </c>
      <c r="C361" s="155">
        <v>1696.75</v>
      </c>
      <c r="D361" s="135">
        <f t="shared" si="10"/>
        <v>0.00872255783114784</v>
      </c>
      <c r="E361" s="155">
        <v>23071.8</v>
      </c>
      <c r="F361" s="160">
        <f t="shared" si="11"/>
        <v>-0.00115075546771382</v>
      </c>
    </row>
    <row r="362" ht="14.25" customHeight="1" spans="2:6">
      <c r="B362" s="137">
        <v>45698</v>
      </c>
      <c r="C362" s="155">
        <v>1693.05</v>
      </c>
      <c r="D362" s="135">
        <f t="shared" si="10"/>
        <v>0.0021854050382446</v>
      </c>
      <c r="E362" s="155">
        <v>23381.6</v>
      </c>
      <c r="F362" s="160">
        <f t="shared" si="11"/>
        <v>-0.0132497348342286</v>
      </c>
    </row>
    <row r="363" ht="14.25" customHeight="1" spans="2:6">
      <c r="B363" s="137">
        <v>45695</v>
      </c>
      <c r="C363" s="155">
        <v>1676.75</v>
      </c>
      <c r="D363" s="135">
        <f t="shared" si="10"/>
        <v>0.00972118681974043</v>
      </c>
      <c r="E363" s="155">
        <v>23559.95</v>
      </c>
      <c r="F363" s="160">
        <f t="shared" si="11"/>
        <v>-0.00757005002132871</v>
      </c>
    </row>
    <row r="364" ht="14.25" customHeight="1" spans="2:6">
      <c r="B364" s="137">
        <v>45694</v>
      </c>
      <c r="C364" s="155">
        <v>1619.75</v>
      </c>
      <c r="D364" s="135">
        <f t="shared" si="10"/>
        <v>0.0351906158357771</v>
      </c>
      <c r="E364" s="155">
        <v>23603.35</v>
      </c>
      <c r="F364" s="160">
        <f t="shared" si="11"/>
        <v>-0.00183872204581115</v>
      </c>
    </row>
    <row r="365" ht="14.25" customHeight="1" spans="2:6">
      <c r="B365" s="137">
        <v>45693</v>
      </c>
      <c r="C365" s="155">
        <v>1660.45</v>
      </c>
      <c r="D365" s="135">
        <f t="shared" si="10"/>
        <v>-0.0245114276250414</v>
      </c>
      <c r="E365" s="155">
        <v>23696.3</v>
      </c>
      <c r="F365" s="160">
        <f t="shared" si="11"/>
        <v>-0.00392255331001046</v>
      </c>
    </row>
    <row r="366" ht="14.25" customHeight="1" spans="2:6">
      <c r="B366" s="137">
        <v>45692</v>
      </c>
      <c r="C366" s="155">
        <v>1661.45</v>
      </c>
      <c r="D366" s="135">
        <f t="shared" si="10"/>
        <v>-0.000601883896596322</v>
      </c>
      <c r="E366" s="155">
        <v>23739.25</v>
      </c>
      <c r="F366" s="160">
        <f t="shared" si="11"/>
        <v>-0.00180923997177673</v>
      </c>
    </row>
    <row r="367" ht="14.25" customHeight="1" spans="2:6">
      <c r="B367" s="137">
        <v>45691</v>
      </c>
      <c r="C367" s="155">
        <v>1652.35</v>
      </c>
      <c r="D367" s="135">
        <f t="shared" si="10"/>
        <v>0.00550730777377684</v>
      </c>
      <c r="E367" s="155">
        <v>23361.05</v>
      </c>
      <c r="F367" s="160">
        <f t="shared" si="11"/>
        <v>0.0161893408044587</v>
      </c>
    </row>
    <row r="368" ht="14.25" customHeight="1" spans="2:6">
      <c r="B368" s="137">
        <v>45689</v>
      </c>
      <c r="C368" s="155">
        <v>1623.25</v>
      </c>
      <c r="D368" s="135">
        <f t="shared" si="10"/>
        <v>0.0179269983058679</v>
      </c>
      <c r="E368" s="155">
        <v>23482.15</v>
      </c>
      <c r="F368" s="160">
        <f t="shared" si="11"/>
        <v>-0.00515710869745756</v>
      </c>
    </row>
    <row r="369" ht="14.25" customHeight="1" spans="2:6">
      <c r="B369" s="137">
        <v>45688</v>
      </c>
      <c r="C369" s="155">
        <v>1626.3</v>
      </c>
      <c r="D369" s="135">
        <f t="shared" si="10"/>
        <v>-0.00187542273873209</v>
      </c>
      <c r="E369" s="155">
        <v>23508.4</v>
      </c>
      <c r="F369" s="160">
        <f t="shared" si="11"/>
        <v>-0.00111662214357422</v>
      </c>
    </row>
    <row r="370" ht="14.25" customHeight="1" spans="2:6">
      <c r="B370" s="137">
        <v>45687</v>
      </c>
      <c r="C370" s="155">
        <v>1640.75</v>
      </c>
      <c r="D370" s="135">
        <f t="shared" si="10"/>
        <v>-0.00880694804205395</v>
      </c>
      <c r="E370" s="155">
        <v>23249.5</v>
      </c>
      <c r="F370" s="160">
        <f t="shared" si="11"/>
        <v>0.0111357233488893</v>
      </c>
    </row>
    <row r="371" ht="14.25" customHeight="1" spans="2:6">
      <c r="B371" s="137">
        <v>45686</v>
      </c>
      <c r="C371" s="155">
        <v>1600.45</v>
      </c>
      <c r="D371" s="135">
        <f t="shared" si="10"/>
        <v>0.0251804180074353</v>
      </c>
      <c r="E371" s="155">
        <v>23163.1</v>
      </c>
      <c r="F371" s="160">
        <f t="shared" si="11"/>
        <v>0.00373007067275122</v>
      </c>
    </row>
    <row r="372" ht="14.25" customHeight="1" spans="2:6">
      <c r="B372" s="137">
        <v>45685</v>
      </c>
      <c r="C372" s="155">
        <v>1618.35</v>
      </c>
      <c r="D372" s="135">
        <f t="shared" si="10"/>
        <v>-0.0110606481910587</v>
      </c>
      <c r="E372" s="155">
        <v>22957.25</v>
      </c>
      <c r="F372" s="160">
        <f t="shared" si="11"/>
        <v>0.00896666630367315</v>
      </c>
    </row>
    <row r="373" ht="14.25" customHeight="1" spans="2:6">
      <c r="B373" s="137">
        <v>45684</v>
      </c>
      <c r="C373" s="155">
        <v>1602.6</v>
      </c>
      <c r="D373" s="135">
        <f t="shared" si="10"/>
        <v>0.00982777985773109</v>
      </c>
      <c r="E373" s="155">
        <v>22829.15</v>
      </c>
      <c r="F373" s="160">
        <f t="shared" si="11"/>
        <v>0.00561124702408966</v>
      </c>
    </row>
    <row r="374" ht="14.25" customHeight="1" spans="2:6">
      <c r="B374" s="137">
        <v>45681</v>
      </c>
      <c r="C374" s="155">
        <v>1644.8</v>
      </c>
      <c r="D374" s="135">
        <f t="shared" si="10"/>
        <v>-0.0256566147859922</v>
      </c>
      <c r="E374" s="155">
        <v>23092.2</v>
      </c>
      <c r="F374" s="160">
        <f t="shared" si="11"/>
        <v>-0.0113912922978321</v>
      </c>
    </row>
    <row r="375" ht="14.25" customHeight="1" spans="2:6">
      <c r="B375" s="137">
        <v>45680</v>
      </c>
      <c r="C375" s="155">
        <v>1636</v>
      </c>
      <c r="D375" s="135">
        <f t="shared" si="10"/>
        <v>0.00537897310513435</v>
      </c>
      <c r="E375" s="155">
        <v>23205.35</v>
      </c>
      <c r="F375" s="160">
        <f t="shared" si="11"/>
        <v>-0.00487603074291043</v>
      </c>
    </row>
    <row r="376" ht="14.25" customHeight="1" spans="2:6">
      <c r="B376" s="137">
        <v>45679</v>
      </c>
      <c r="C376" s="155">
        <v>1631.75</v>
      </c>
      <c r="D376" s="135">
        <f t="shared" si="10"/>
        <v>0.00260456565037526</v>
      </c>
      <c r="E376" s="155">
        <v>23155.35</v>
      </c>
      <c r="F376" s="160">
        <f t="shared" si="11"/>
        <v>0.00215932818981357</v>
      </c>
    </row>
    <row r="377" ht="14.25" customHeight="1" spans="2:6">
      <c r="B377" s="137">
        <v>45678</v>
      </c>
      <c r="C377" s="155">
        <v>1626.15</v>
      </c>
      <c r="D377" s="135">
        <f t="shared" si="10"/>
        <v>0.00344371675429689</v>
      </c>
      <c r="E377" s="155">
        <v>23024.65</v>
      </c>
      <c r="F377" s="160">
        <f t="shared" si="11"/>
        <v>0.0056765249417472</v>
      </c>
    </row>
    <row r="378" ht="14.25" customHeight="1" spans="2:6">
      <c r="B378" s="137">
        <v>45677</v>
      </c>
      <c r="C378" s="155">
        <v>1641.15</v>
      </c>
      <c r="D378" s="135">
        <f t="shared" si="10"/>
        <v>-0.0091399323645005</v>
      </c>
      <c r="E378" s="155">
        <v>23344.75</v>
      </c>
      <c r="F378" s="160">
        <f t="shared" si="11"/>
        <v>-0.0137118624101779</v>
      </c>
    </row>
    <row r="379" ht="14.25" customHeight="1" spans="2:6">
      <c r="B379" s="137">
        <v>45674</v>
      </c>
      <c r="C379" s="155">
        <v>1627.5</v>
      </c>
      <c r="D379" s="135">
        <f t="shared" si="10"/>
        <v>0.00838709677419369</v>
      </c>
      <c r="E379" s="155">
        <v>23203.2</v>
      </c>
      <c r="F379" s="160">
        <f t="shared" si="11"/>
        <v>0.0061004516618397</v>
      </c>
    </row>
    <row r="380" ht="14.25" customHeight="1" spans="2:6">
      <c r="B380" s="137">
        <v>45673</v>
      </c>
      <c r="C380" s="155">
        <v>1630.2</v>
      </c>
      <c r="D380" s="135">
        <f t="shared" si="10"/>
        <v>-0.00165623849834384</v>
      </c>
      <c r="E380" s="155">
        <v>23311.8</v>
      </c>
      <c r="F380" s="160">
        <f t="shared" si="11"/>
        <v>-0.00465858492265714</v>
      </c>
    </row>
    <row r="381" ht="14.25" customHeight="1" spans="2:6">
      <c r="B381" s="137">
        <v>45672</v>
      </c>
      <c r="C381" s="155">
        <v>1607.45</v>
      </c>
      <c r="D381" s="135">
        <f t="shared" si="10"/>
        <v>0.014152850788516</v>
      </c>
      <c r="E381" s="155">
        <v>23213.2</v>
      </c>
      <c r="F381" s="160">
        <f t="shared" si="11"/>
        <v>0.0042475832715867</v>
      </c>
    </row>
    <row r="382" ht="14.25" customHeight="1" spans="2:6">
      <c r="B382" s="137">
        <v>45671</v>
      </c>
      <c r="C382" s="155">
        <v>1600.1</v>
      </c>
      <c r="D382" s="135">
        <f t="shared" si="10"/>
        <v>0.00459346290856821</v>
      </c>
      <c r="E382" s="155">
        <v>23176.05</v>
      </c>
      <c r="F382" s="160">
        <f t="shared" si="11"/>
        <v>0.00160294787075466</v>
      </c>
    </row>
    <row r="383" ht="14.25" customHeight="1" spans="2:6">
      <c r="B383" s="137">
        <v>45670</v>
      </c>
      <c r="C383" s="155">
        <v>1597.2</v>
      </c>
      <c r="D383" s="135">
        <f t="shared" si="10"/>
        <v>0.00181567743551203</v>
      </c>
      <c r="E383" s="155">
        <v>23085.95</v>
      </c>
      <c r="F383" s="160">
        <f t="shared" si="11"/>
        <v>0.0039028066854514</v>
      </c>
    </row>
    <row r="384" ht="14.25" customHeight="1" spans="2:6">
      <c r="B384" s="137">
        <v>45667</v>
      </c>
      <c r="C384" s="155">
        <v>1615.9</v>
      </c>
      <c r="D384" s="135">
        <f t="shared" si="10"/>
        <v>-0.0115724982981621</v>
      </c>
      <c r="E384" s="155">
        <v>23431.5</v>
      </c>
      <c r="F384" s="160">
        <f t="shared" si="11"/>
        <v>-0.0147472419606085</v>
      </c>
    </row>
    <row r="385" ht="14.25" customHeight="1" spans="2:6">
      <c r="B385" s="137">
        <v>45666</v>
      </c>
      <c r="C385" s="155">
        <v>1607.05</v>
      </c>
      <c r="D385" s="135">
        <f t="shared" si="10"/>
        <v>0.0055069848480136</v>
      </c>
      <c r="E385" s="155">
        <v>23526.5</v>
      </c>
      <c r="F385" s="160">
        <f t="shared" si="11"/>
        <v>-0.00403799970246321</v>
      </c>
    </row>
    <row r="386" ht="14.25" customHeight="1" spans="2:6">
      <c r="B386" s="137">
        <v>45665</v>
      </c>
      <c r="C386" s="155">
        <v>1599.2</v>
      </c>
      <c r="D386" s="135">
        <f t="shared" si="10"/>
        <v>0.00490870435217605</v>
      </c>
      <c r="E386" s="155">
        <v>23688.95</v>
      </c>
      <c r="F386" s="160">
        <f t="shared" si="11"/>
        <v>-0.00685762771249887</v>
      </c>
    </row>
    <row r="387" ht="14.25" customHeight="1" spans="2:6">
      <c r="B387" s="137">
        <v>45664</v>
      </c>
      <c r="C387" s="155">
        <v>1590.85</v>
      </c>
      <c r="D387" s="135">
        <f t="shared" si="10"/>
        <v>0.0052487663827514</v>
      </c>
      <c r="E387" s="155">
        <v>23707.9</v>
      </c>
      <c r="F387" s="160">
        <f t="shared" si="11"/>
        <v>-0.000799311621864418</v>
      </c>
    </row>
    <row r="388" ht="14.25" customHeight="1" spans="2:6">
      <c r="B388" s="137">
        <v>45663</v>
      </c>
      <c r="C388" s="155">
        <v>1588.45</v>
      </c>
      <c r="D388" s="135">
        <f t="shared" si="10"/>
        <v>0.00151090685888744</v>
      </c>
      <c r="E388" s="155">
        <v>23616.05</v>
      </c>
      <c r="F388" s="160">
        <f t="shared" si="11"/>
        <v>0.00388930409615496</v>
      </c>
    </row>
    <row r="389" ht="14.25" customHeight="1" spans="2:6">
      <c r="B389" s="137">
        <v>45660</v>
      </c>
      <c r="C389" s="155">
        <v>1598.85</v>
      </c>
      <c r="D389" s="135">
        <f t="shared" si="10"/>
        <v>-0.00650467523532527</v>
      </c>
      <c r="E389" s="155">
        <v>24004.75</v>
      </c>
      <c r="F389" s="160">
        <f t="shared" si="11"/>
        <v>-0.0161926285422677</v>
      </c>
    </row>
    <row r="390" ht="14.25" customHeight="1" spans="2:6">
      <c r="B390" s="137">
        <v>45659</v>
      </c>
      <c r="C390" s="155">
        <v>1609.7</v>
      </c>
      <c r="D390" s="135">
        <f t="shared" si="10"/>
        <v>-0.00674038640740515</v>
      </c>
      <c r="E390" s="155">
        <v>24188.65</v>
      </c>
      <c r="F390" s="160">
        <f t="shared" si="11"/>
        <v>-0.00760273930128397</v>
      </c>
    </row>
    <row r="391" ht="14.25" customHeight="1" spans="2:6">
      <c r="B391" s="137">
        <v>45658</v>
      </c>
      <c r="C391" s="155">
        <v>1595.7</v>
      </c>
      <c r="D391" s="135">
        <f t="shared" si="10"/>
        <v>0.00877357899354525</v>
      </c>
      <c r="E391" s="155">
        <v>23742.9</v>
      </c>
      <c r="F391" s="160">
        <f t="shared" si="11"/>
        <v>0.0187740335005413</v>
      </c>
    </row>
    <row r="392" ht="14.25" customHeight="1" spans="2:6">
      <c r="B392" s="137"/>
      <c r="C392" s="155"/>
      <c r="D392" s="160"/>
      <c r="E392" s="155"/>
      <c r="F392" s="160"/>
    </row>
    <row r="393" ht="14.25" customHeight="1" spans="2:6">
      <c r="D393" s="180"/>
      <c r="E393" s="136"/>
      <c r="F393" s="180"/>
    </row>
    <row r="394" ht="14.25" customHeight="1" spans="2:6">
      <c r="D394" s="180"/>
      <c r="E394" s="136"/>
      <c r="F394" s="180"/>
    </row>
    <row r="395" ht="14.25" customHeight="1" spans="2:6">
      <c r="D395" s="180"/>
      <c r="E395" s="136"/>
      <c r="F395" s="180"/>
    </row>
    <row r="396" ht="14.25" customHeight="1" spans="2:6">
      <c r="D396" s="180"/>
      <c r="E396" s="136"/>
      <c r="F396" s="180"/>
    </row>
    <row r="397" ht="14.25" customHeight="1" spans="2:6">
      <c r="D397" s="180"/>
      <c r="E397" s="136"/>
      <c r="F397" s="180"/>
    </row>
    <row r="398" ht="14.25" customHeight="1" spans="2:6">
      <c r="D398" s="180"/>
      <c r="E398" s="136"/>
      <c r="F398" s="180"/>
    </row>
    <row r="399" ht="14.25" customHeight="1" spans="2:6">
      <c r="D399" s="180"/>
      <c r="E399" s="136"/>
      <c r="F399" s="180"/>
    </row>
    <row r="400" ht="14.25" customHeight="1" spans="2:6">
      <c r="D400" s="180"/>
      <c r="E400" s="136"/>
      <c r="F400" s="180"/>
    </row>
    <row r="401" ht="14.25" customHeight="1" spans="4:6">
      <c r="D401" s="180"/>
      <c r="E401" s="136"/>
      <c r="F401" s="180"/>
    </row>
    <row r="402" ht="14.25" customHeight="1" spans="4:6">
      <c r="D402" s="180"/>
      <c r="E402" s="136"/>
      <c r="F402" s="180"/>
    </row>
    <row r="403" ht="14.25" customHeight="1" spans="4:6">
      <c r="D403" s="180"/>
      <c r="E403" s="136"/>
      <c r="F403" s="180"/>
    </row>
    <row r="404" ht="14.25" customHeight="1" spans="4:6">
      <c r="D404" s="180"/>
      <c r="E404" s="136"/>
      <c r="F404" s="180"/>
    </row>
    <row r="405" ht="14.25" customHeight="1" spans="4:6">
      <c r="D405" s="180"/>
      <c r="E405" s="136"/>
      <c r="F405" s="180"/>
    </row>
    <row r="406" ht="14.25" customHeight="1" spans="4:6">
      <c r="D406" s="180"/>
      <c r="E406" s="136"/>
      <c r="F406" s="180"/>
    </row>
    <row r="407" ht="14.25" customHeight="1" spans="4:6">
      <c r="D407" s="180"/>
      <c r="E407" s="136"/>
      <c r="F407" s="180"/>
    </row>
    <row r="408" ht="14.25" customHeight="1" spans="4:6">
      <c r="D408" s="180"/>
      <c r="E408" s="136"/>
      <c r="F408" s="180"/>
    </row>
    <row r="409" ht="14.25" customHeight="1" spans="4:6">
      <c r="D409" s="180"/>
      <c r="E409" s="136"/>
      <c r="F409" s="180"/>
    </row>
    <row r="410" ht="14.25" customHeight="1" spans="4:6">
      <c r="D410" s="180"/>
      <c r="E410" s="136"/>
      <c r="F410" s="180"/>
    </row>
    <row r="411" ht="14.25" customHeight="1" spans="4:6">
      <c r="D411" s="180"/>
      <c r="E411" s="136"/>
      <c r="F411" s="180"/>
    </row>
    <row r="412" ht="14.25" customHeight="1" spans="4:6">
      <c r="D412" s="180"/>
      <c r="E412" s="136"/>
      <c r="F412" s="180"/>
    </row>
    <row r="413" ht="14.25" customHeight="1" spans="4:6">
      <c r="D413" s="180"/>
      <c r="E413" s="136"/>
      <c r="F413" s="180"/>
    </row>
    <row r="414" ht="14.25" customHeight="1" spans="4:6">
      <c r="D414" s="180"/>
      <c r="E414" s="136"/>
      <c r="F414" s="180"/>
    </row>
    <row r="415" ht="14.25" customHeight="1" spans="4:6">
      <c r="D415" s="180"/>
      <c r="E415" s="136"/>
      <c r="F415" s="180"/>
    </row>
    <row r="416" ht="14.25" customHeight="1" spans="4:6">
      <c r="D416" s="180"/>
      <c r="E416" s="136"/>
      <c r="F416" s="180"/>
    </row>
    <row r="417" ht="14.25" customHeight="1" spans="4:6">
      <c r="D417" s="180"/>
      <c r="E417" s="136"/>
      <c r="F417" s="180"/>
    </row>
    <row r="418" ht="14.25" customHeight="1" spans="4:6">
      <c r="D418" s="180"/>
      <c r="E418" s="136"/>
      <c r="F418" s="180"/>
    </row>
    <row r="419" ht="14.25" customHeight="1" spans="4:6">
      <c r="D419" s="180"/>
      <c r="E419" s="136"/>
      <c r="F419" s="180"/>
    </row>
    <row r="420" ht="14.25" customHeight="1" spans="4:6">
      <c r="D420" s="180"/>
      <c r="E420" s="136"/>
      <c r="F420" s="180"/>
    </row>
    <row r="421" ht="14.25" customHeight="1" spans="4:6">
      <c r="D421" s="180"/>
      <c r="E421" s="136"/>
      <c r="F421" s="180"/>
    </row>
    <row r="422" ht="14.25" customHeight="1" spans="4:6">
      <c r="D422" s="180"/>
      <c r="E422" s="136"/>
      <c r="F422" s="180"/>
    </row>
    <row r="423" ht="14.25" customHeight="1" spans="4:6">
      <c r="D423" s="180"/>
      <c r="E423" s="136"/>
      <c r="F423" s="180"/>
    </row>
    <row r="424" ht="14.25" customHeight="1" spans="4:6">
      <c r="D424" s="180"/>
      <c r="E424" s="136"/>
      <c r="F424" s="180"/>
    </row>
    <row r="425" ht="14.25" customHeight="1" spans="4:6">
      <c r="D425" s="180"/>
      <c r="E425" s="136"/>
      <c r="F425" s="180"/>
    </row>
    <row r="426" ht="14.25" customHeight="1" spans="4:6">
      <c r="D426" s="180"/>
      <c r="E426" s="136"/>
      <c r="F426" s="180"/>
    </row>
    <row r="427" ht="14.25" customHeight="1" spans="4:6">
      <c r="D427" s="180"/>
      <c r="E427" s="136"/>
      <c r="F427" s="180"/>
    </row>
    <row r="428" ht="14.25" customHeight="1" spans="4:6">
      <c r="D428" s="180"/>
      <c r="E428" s="136"/>
      <c r="F428" s="180"/>
    </row>
    <row r="429" ht="14.25" customHeight="1" spans="4:6">
      <c r="D429" s="180"/>
      <c r="E429" s="136"/>
      <c r="F429" s="180"/>
    </row>
    <row r="430" ht="14.25" customHeight="1" spans="4:6">
      <c r="D430" s="180"/>
      <c r="E430" s="136"/>
      <c r="F430" s="180"/>
    </row>
    <row r="431" ht="14.25" customHeight="1" spans="4:6">
      <c r="D431" s="180"/>
      <c r="E431" s="136"/>
      <c r="F431" s="180"/>
    </row>
    <row r="432" ht="14.25" customHeight="1" spans="4:6">
      <c r="D432" s="180"/>
      <c r="E432" s="136"/>
      <c r="F432" s="180"/>
    </row>
    <row r="433" ht="14.25" customHeight="1" spans="4:6">
      <c r="D433" s="180"/>
      <c r="E433" s="136"/>
      <c r="F433" s="180"/>
    </row>
    <row r="434" ht="14.25" customHeight="1" spans="4:6">
      <c r="D434" s="180"/>
      <c r="E434" s="136"/>
      <c r="F434" s="180"/>
    </row>
    <row r="435" ht="14.25" customHeight="1" spans="4:6">
      <c r="D435" s="180"/>
      <c r="E435" s="136"/>
      <c r="F435" s="180"/>
    </row>
    <row r="436" ht="14.25" customHeight="1" spans="4:6">
      <c r="D436" s="180"/>
      <c r="E436" s="136"/>
      <c r="F436" s="180"/>
    </row>
    <row r="437" ht="14.25" customHeight="1" spans="4:6">
      <c r="D437" s="180"/>
      <c r="E437" s="136"/>
      <c r="F437" s="180"/>
    </row>
    <row r="438" ht="14.25" customHeight="1" spans="4:6">
      <c r="D438" s="180"/>
      <c r="E438" s="136"/>
      <c r="F438" s="180"/>
    </row>
    <row r="439" ht="14.25" customHeight="1" spans="4:6">
      <c r="D439" s="180"/>
      <c r="E439" s="136"/>
      <c r="F439" s="180"/>
    </row>
    <row r="440" ht="14.25" customHeight="1" spans="4:6">
      <c r="D440" s="180"/>
      <c r="E440" s="136"/>
      <c r="F440" s="180"/>
    </row>
    <row r="441" ht="14.25" customHeight="1" spans="4:6">
      <c r="D441" s="180"/>
      <c r="E441" s="136"/>
      <c r="F441" s="180"/>
    </row>
    <row r="442" ht="14.25" customHeight="1" spans="4:6">
      <c r="D442" s="180"/>
      <c r="E442" s="136"/>
      <c r="F442" s="180"/>
    </row>
    <row r="443" ht="14.25" customHeight="1" spans="4:6">
      <c r="D443" s="180"/>
      <c r="E443" s="136"/>
      <c r="F443" s="180"/>
    </row>
    <row r="444" ht="14.25" customHeight="1" spans="4:6">
      <c r="D444" s="180"/>
      <c r="E444" s="136"/>
      <c r="F444" s="180"/>
    </row>
    <row r="445" ht="14.25" customHeight="1" spans="4:6">
      <c r="D445" s="180"/>
      <c r="E445" s="136"/>
      <c r="F445" s="180"/>
    </row>
    <row r="446" ht="14.25" customHeight="1" spans="4:6">
      <c r="D446" s="180"/>
      <c r="E446" s="136"/>
      <c r="F446" s="180"/>
    </row>
    <row r="447" ht="14.25" customHeight="1" spans="4:6">
      <c r="D447" s="180"/>
      <c r="E447" s="136"/>
      <c r="F447" s="180"/>
    </row>
    <row r="448" ht="14.25" customHeight="1" spans="4:6">
      <c r="D448" s="180"/>
      <c r="E448" s="136"/>
      <c r="F448" s="180"/>
    </row>
    <row r="449" ht="14.25" customHeight="1" spans="4:6">
      <c r="D449" s="180"/>
      <c r="E449" s="136"/>
      <c r="F449" s="180"/>
    </row>
    <row r="450" ht="14.25" customHeight="1" spans="4:6">
      <c r="D450" s="180"/>
      <c r="E450" s="136"/>
      <c r="F450" s="180"/>
    </row>
    <row r="451" ht="14.25" customHeight="1" spans="4:6">
      <c r="D451" s="180"/>
      <c r="E451" s="136"/>
      <c r="F451" s="180"/>
    </row>
    <row r="452" ht="14.25" customHeight="1" spans="4:6">
      <c r="D452" s="180"/>
      <c r="E452" s="136"/>
      <c r="F452" s="180"/>
    </row>
    <row r="453" ht="14.25" customHeight="1" spans="4:6">
      <c r="D453" s="180"/>
      <c r="E453" s="136"/>
      <c r="F453" s="180"/>
    </row>
    <row r="454" ht="14.25" customHeight="1" spans="4:6">
      <c r="D454" s="180"/>
      <c r="E454" s="136"/>
      <c r="F454" s="180"/>
    </row>
    <row r="455" ht="14.25" customHeight="1" spans="4:6">
      <c r="D455" s="180"/>
      <c r="E455" s="136"/>
      <c r="F455" s="180"/>
    </row>
    <row r="456" ht="14.25" customHeight="1" spans="4:6">
      <c r="D456" s="180"/>
      <c r="E456" s="136"/>
      <c r="F456" s="180"/>
    </row>
    <row r="457" ht="14.25" customHeight="1" spans="4:6">
      <c r="D457" s="180"/>
      <c r="E457" s="136"/>
      <c r="F457" s="180"/>
    </row>
    <row r="458" ht="14.25" customHeight="1" spans="4:6">
      <c r="D458" s="180"/>
      <c r="E458" s="136"/>
      <c r="F458" s="180"/>
    </row>
    <row r="459" ht="14.25" customHeight="1" spans="4:6">
      <c r="D459" s="180"/>
      <c r="E459" s="136"/>
      <c r="F459" s="180"/>
    </row>
    <row r="460" ht="14.25" customHeight="1" spans="4:6">
      <c r="D460" s="180"/>
      <c r="E460" s="136"/>
      <c r="F460" s="180"/>
    </row>
    <row r="461" ht="14.25" customHeight="1" spans="4:6">
      <c r="D461" s="180"/>
      <c r="E461" s="136"/>
      <c r="F461" s="180"/>
    </row>
    <row r="462" ht="14.25" customHeight="1" spans="4:6">
      <c r="D462" s="180"/>
      <c r="E462" s="136"/>
      <c r="F462" s="180"/>
    </row>
    <row r="463" ht="14.25" customHeight="1" spans="4:6">
      <c r="D463" s="180"/>
      <c r="E463" s="136"/>
      <c r="F463" s="180"/>
    </row>
    <row r="464" ht="14.25" customHeight="1" spans="4:6">
      <c r="D464" s="180"/>
      <c r="E464" s="136"/>
      <c r="F464" s="180"/>
    </row>
    <row r="465" ht="14.25" customHeight="1" spans="4:6">
      <c r="D465" s="180"/>
      <c r="E465" s="136"/>
      <c r="F465" s="180"/>
    </row>
    <row r="466" ht="14.25" customHeight="1" spans="4:6">
      <c r="D466" s="180"/>
      <c r="E466" s="136"/>
      <c r="F466" s="180"/>
    </row>
    <row r="467" ht="14.25" customHeight="1" spans="4:6">
      <c r="D467" s="180"/>
      <c r="E467" s="136"/>
      <c r="F467" s="180"/>
    </row>
    <row r="468" ht="14.25" customHeight="1" spans="4:6">
      <c r="D468" s="180"/>
      <c r="E468" s="136"/>
      <c r="F468" s="180"/>
    </row>
    <row r="469" ht="14.25" customHeight="1" spans="4:6">
      <c r="D469" s="180"/>
      <c r="E469" s="136"/>
      <c r="F469" s="180"/>
    </row>
    <row r="470" ht="14.25" customHeight="1" spans="4:6">
      <c r="D470" s="180"/>
      <c r="E470" s="136"/>
      <c r="F470" s="180"/>
    </row>
    <row r="471" ht="14.25" customHeight="1" spans="4:6">
      <c r="D471" s="180"/>
      <c r="E471" s="136"/>
      <c r="F471" s="180"/>
    </row>
    <row r="472" ht="14.25" customHeight="1" spans="4:6">
      <c r="D472" s="180"/>
      <c r="E472" s="136"/>
      <c r="F472" s="180"/>
    </row>
    <row r="473" ht="14.25" customHeight="1" spans="4:6">
      <c r="D473" s="180"/>
      <c r="E473" s="136"/>
      <c r="F473" s="180"/>
    </row>
    <row r="474" ht="14.25" customHeight="1" spans="4:6">
      <c r="D474" s="180"/>
      <c r="E474" s="136"/>
      <c r="F474" s="180"/>
    </row>
    <row r="475" ht="14.25" customHeight="1" spans="4:6">
      <c r="D475" s="180"/>
      <c r="E475" s="136"/>
      <c r="F475" s="180"/>
    </row>
    <row r="476" ht="14.25" customHeight="1" spans="4:6">
      <c r="D476" s="180"/>
      <c r="E476" s="136"/>
      <c r="F476" s="180"/>
    </row>
    <row r="477" ht="14.25" customHeight="1" spans="4:6">
      <c r="D477" s="180"/>
      <c r="E477" s="136"/>
      <c r="F477" s="180"/>
    </row>
    <row r="478" ht="14.25" customHeight="1" spans="4:6">
      <c r="D478" s="180"/>
      <c r="E478" s="136"/>
      <c r="F478" s="180"/>
    </row>
    <row r="479" ht="14.25" customHeight="1" spans="4:6">
      <c r="D479" s="180"/>
      <c r="E479" s="136"/>
      <c r="F479" s="180"/>
    </row>
    <row r="480" ht="14.25" customHeight="1" spans="4:6">
      <c r="D480" s="180"/>
      <c r="E480" s="136"/>
      <c r="F480" s="180"/>
    </row>
    <row r="481" ht="14.25" customHeight="1" spans="4:6">
      <c r="D481" s="180"/>
      <c r="E481" s="136"/>
      <c r="F481" s="180"/>
    </row>
    <row r="482" ht="14.25" customHeight="1" spans="4:6">
      <c r="D482" s="180"/>
      <c r="E482" s="136"/>
      <c r="F482" s="180"/>
    </row>
    <row r="483" ht="14.25" customHeight="1" spans="4:6">
      <c r="D483" s="180"/>
      <c r="E483" s="136"/>
      <c r="F483" s="180"/>
    </row>
    <row r="484" ht="14.25" customHeight="1" spans="4:6">
      <c r="D484" s="180"/>
      <c r="E484" s="136"/>
      <c r="F484" s="180"/>
    </row>
    <row r="485" ht="14.25" customHeight="1" spans="4:6">
      <c r="D485" s="180"/>
      <c r="E485" s="136"/>
      <c r="F485" s="180"/>
    </row>
    <row r="486" ht="14.25" customHeight="1" spans="4:6">
      <c r="D486" s="180"/>
      <c r="E486" s="136"/>
      <c r="F486" s="180"/>
    </row>
    <row r="487" ht="14.25" customHeight="1" spans="4:6">
      <c r="D487" s="180"/>
      <c r="E487" s="136"/>
      <c r="F487" s="180"/>
    </row>
    <row r="488" ht="14.25" customHeight="1" spans="4:6">
      <c r="D488" s="180"/>
      <c r="E488" s="136"/>
      <c r="F488" s="180"/>
    </row>
    <row r="489" ht="14.25" customHeight="1" spans="4:6">
      <c r="D489" s="180"/>
      <c r="E489" s="136"/>
      <c r="F489" s="180"/>
    </row>
    <row r="490" ht="14.25" customHeight="1" spans="4:6">
      <c r="D490" s="180"/>
      <c r="E490" s="136"/>
      <c r="F490" s="180"/>
    </row>
    <row r="491" ht="14.25" customHeight="1" spans="4:6">
      <c r="D491" s="180"/>
      <c r="E491" s="136"/>
      <c r="F491" s="180"/>
    </row>
    <row r="492" ht="14.25" customHeight="1" spans="4:6">
      <c r="D492" s="180"/>
      <c r="E492" s="136"/>
      <c r="F492" s="180"/>
    </row>
    <row r="493" ht="14.25" customHeight="1" spans="4:6">
      <c r="D493" s="180"/>
      <c r="E493" s="136"/>
      <c r="F493" s="180"/>
    </row>
    <row r="494" ht="14.25" customHeight="1" spans="4:6">
      <c r="D494" s="180"/>
      <c r="E494" s="136"/>
      <c r="F494" s="180"/>
    </row>
    <row r="495" ht="14.25" customHeight="1" spans="4:6">
      <c r="D495" s="180"/>
      <c r="E495" s="136"/>
      <c r="F495" s="180"/>
    </row>
    <row r="496" ht="14.25" customHeight="1" spans="4:6">
      <c r="D496" s="180"/>
      <c r="E496" s="136"/>
      <c r="F496" s="180"/>
    </row>
    <row r="497" ht="14.25" customHeight="1" spans="4:6">
      <c r="D497" s="180"/>
      <c r="E497" s="136"/>
      <c r="F497" s="180"/>
    </row>
    <row r="498" ht="14.25" customHeight="1" spans="4:6">
      <c r="D498" s="180"/>
      <c r="E498" s="136"/>
      <c r="F498" s="180"/>
    </row>
    <row r="499" ht="14.25" customHeight="1" spans="4:6">
      <c r="D499" s="180"/>
      <c r="E499" s="136"/>
      <c r="F499" s="180"/>
    </row>
    <row r="500" ht="14.25" customHeight="1" spans="4:6">
      <c r="D500" s="180"/>
      <c r="E500" s="136"/>
      <c r="F500" s="180"/>
    </row>
    <row r="501" ht="14.25" customHeight="1" spans="4:6">
      <c r="D501" s="180"/>
      <c r="E501" s="136"/>
      <c r="F501" s="180"/>
    </row>
    <row r="502" ht="14.25" customHeight="1" spans="4:6">
      <c r="D502" s="180"/>
      <c r="E502" s="136"/>
      <c r="F502" s="180"/>
    </row>
    <row r="503" ht="14.25" customHeight="1" spans="4:6">
      <c r="D503" s="180"/>
      <c r="E503" s="136"/>
      <c r="F503" s="180"/>
    </row>
    <row r="504" ht="14.25" customHeight="1" spans="4:6">
      <c r="D504" s="180"/>
      <c r="E504" s="136"/>
      <c r="F504" s="180"/>
    </row>
    <row r="505" ht="14.25" customHeight="1" spans="4:6">
      <c r="D505" s="180"/>
      <c r="E505" s="136"/>
      <c r="F505" s="180"/>
    </row>
    <row r="506" ht="14.25" customHeight="1" spans="4:6">
      <c r="D506" s="180"/>
      <c r="E506" s="136"/>
      <c r="F506" s="180"/>
    </row>
    <row r="507" ht="14.25" customHeight="1" spans="4:6">
      <c r="D507" s="180"/>
      <c r="E507" s="136"/>
      <c r="F507" s="180"/>
    </row>
    <row r="508" ht="14.25" customHeight="1" spans="4:6">
      <c r="D508" s="180"/>
      <c r="E508" s="136"/>
      <c r="F508" s="180"/>
    </row>
    <row r="509" ht="14.25" customHeight="1" spans="4:6">
      <c r="D509" s="180"/>
      <c r="E509" s="136"/>
      <c r="F509" s="180"/>
    </row>
    <row r="510" ht="14.25" customHeight="1" spans="4:6">
      <c r="D510" s="180"/>
      <c r="E510" s="136"/>
      <c r="F510" s="180"/>
    </row>
    <row r="511" ht="14.25" customHeight="1" spans="4:6">
      <c r="D511" s="180"/>
      <c r="E511" s="136"/>
      <c r="F511" s="180"/>
    </row>
    <row r="512" ht="14.25" customHeight="1" spans="4:6">
      <c r="D512" s="180"/>
      <c r="E512" s="136"/>
      <c r="F512" s="180"/>
    </row>
    <row r="513" ht="14.25" customHeight="1" spans="4:6">
      <c r="D513" s="180"/>
      <c r="E513" s="136"/>
      <c r="F513" s="180"/>
    </row>
    <row r="514" ht="14.25" customHeight="1" spans="4:6">
      <c r="D514" s="180"/>
      <c r="E514" s="136"/>
      <c r="F514" s="180"/>
    </row>
    <row r="515" ht="14.25" customHeight="1" spans="4:6">
      <c r="D515" s="180"/>
      <c r="E515" s="136"/>
      <c r="F515" s="180"/>
    </row>
    <row r="516" ht="14.25" customHeight="1" spans="4:6">
      <c r="D516" s="180"/>
      <c r="E516" s="136"/>
      <c r="F516" s="180"/>
    </row>
    <row r="517" ht="14.25" customHeight="1" spans="4:6">
      <c r="D517" s="180"/>
      <c r="E517" s="136"/>
      <c r="F517" s="180"/>
    </row>
    <row r="518" ht="14.25" customHeight="1" spans="4:6">
      <c r="D518" s="180"/>
      <c r="E518" s="136"/>
      <c r="F518" s="180"/>
    </row>
    <row r="519" ht="14.25" customHeight="1" spans="4:6">
      <c r="D519" s="180"/>
      <c r="E519" s="136"/>
      <c r="F519" s="180"/>
    </row>
    <row r="520" ht="14.25" customHeight="1" spans="4:6">
      <c r="D520" s="180"/>
      <c r="E520" s="136"/>
      <c r="F520" s="180"/>
    </row>
    <row r="521" ht="14.25" customHeight="1" spans="4:6">
      <c r="D521" s="180"/>
      <c r="E521" s="136"/>
      <c r="F521" s="180"/>
    </row>
    <row r="522" ht="14.25" customHeight="1" spans="4:6">
      <c r="D522" s="180"/>
      <c r="E522" s="136"/>
      <c r="F522" s="180"/>
    </row>
    <row r="523" ht="14.25" customHeight="1" spans="4:6">
      <c r="D523" s="180"/>
      <c r="E523" s="136"/>
      <c r="F523" s="180"/>
    </row>
    <row r="524" ht="14.25" customHeight="1" spans="4:6">
      <c r="D524" s="180"/>
      <c r="E524" s="136"/>
      <c r="F524" s="180"/>
    </row>
    <row r="525" ht="14.25" customHeight="1" spans="4:6">
      <c r="D525" s="180"/>
      <c r="E525" s="136"/>
      <c r="F525" s="180"/>
    </row>
    <row r="526" ht="14.25" customHeight="1" spans="4:6">
      <c r="D526" s="180"/>
      <c r="E526" s="136"/>
      <c r="F526" s="180"/>
    </row>
    <row r="527" ht="14.25" customHeight="1" spans="4:6">
      <c r="D527" s="180"/>
      <c r="E527" s="136"/>
      <c r="F527" s="180"/>
    </row>
    <row r="528" ht="14.25" customHeight="1" spans="4:6">
      <c r="D528" s="180"/>
      <c r="E528" s="136"/>
      <c r="F528" s="180"/>
    </row>
    <row r="529" ht="14.25" customHeight="1" spans="4:6">
      <c r="D529" s="180"/>
      <c r="E529" s="136"/>
      <c r="F529" s="180"/>
    </row>
    <row r="530" ht="14.25" customHeight="1" spans="4:6">
      <c r="D530" s="180"/>
      <c r="E530" s="136"/>
      <c r="F530" s="180"/>
    </row>
    <row r="531" ht="14.25" customHeight="1" spans="4:6">
      <c r="D531" s="180"/>
      <c r="E531" s="136"/>
      <c r="F531" s="180"/>
    </row>
    <row r="532" ht="14.25" customHeight="1" spans="4:6">
      <c r="D532" s="180"/>
      <c r="E532" s="136"/>
      <c r="F532" s="180"/>
    </row>
    <row r="533" ht="14.25" customHeight="1" spans="4:6">
      <c r="D533" s="180"/>
      <c r="E533" s="136"/>
      <c r="F533" s="180"/>
    </row>
    <row r="534" ht="14.25" customHeight="1" spans="4:6">
      <c r="D534" s="180"/>
      <c r="E534" s="136"/>
      <c r="F534" s="180"/>
    </row>
    <row r="535" ht="14.25" customHeight="1" spans="4:6">
      <c r="D535" s="180"/>
      <c r="E535" s="136"/>
      <c r="F535" s="180"/>
    </row>
    <row r="536" ht="14.25" customHeight="1" spans="4:6">
      <c r="D536" s="180"/>
      <c r="E536" s="136"/>
      <c r="F536" s="180"/>
    </row>
    <row r="537" ht="14.25" customHeight="1" spans="4:6">
      <c r="D537" s="180"/>
      <c r="E537" s="136"/>
      <c r="F537" s="180"/>
    </row>
    <row r="538" ht="14.25" customHeight="1" spans="4:6">
      <c r="D538" s="180"/>
      <c r="E538" s="136"/>
      <c r="F538" s="180"/>
    </row>
    <row r="539" ht="14.25" customHeight="1" spans="4:6">
      <c r="D539" s="180"/>
      <c r="E539" s="136"/>
      <c r="F539" s="180"/>
    </row>
    <row r="540" ht="14.25" customHeight="1" spans="4:6">
      <c r="D540" s="180"/>
      <c r="E540" s="136"/>
      <c r="F540" s="180"/>
    </row>
    <row r="541" ht="14.25" customHeight="1" spans="4:6">
      <c r="D541" s="180"/>
      <c r="E541" s="136"/>
      <c r="F541" s="180"/>
    </row>
    <row r="542" ht="14.25" customHeight="1" spans="4:6">
      <c r="D542" s="180"/>
      <c r="E542" s="136"/>
      <c r="F542" s="180"/>
    </row>
    <row r="543" ht="14.25" customHeight="1" spans="4:6">
      <c r="D543" s="180"/>
      <c r="E543" s="136"/>
      <c r="F543" s="180"/>
    </row>
    <row r="544" ht="14.25" customHeight="1" spans="4:6">
      <c r="D544" s="180"/>
      <c r="E544" s="136"/>
      <c r="F544" s="180"/>
    </row>
    <row r="545" ht="14.25" customHeight="1" spans="4:6">
      <c r="D545" s="180"/>
      <c r="E545" s="136"/>
      <c r="F545" s="180"/>
    </row>
    <row r="546" ht="14.25" customHeight="1" spans="4:6">
      <c r="D546" s="180"/>
      <c r="E546" s="136"/>
      <c r="F546" s="180"/>
    </row>
    <row r="547" ht="14.25" customHeight="1" spans="4:6">
      <c r="D547" s="180"/>
      <c r="E547" s="136"/>
      <c r="F547" s="180"/>
    </row>
    <row r="548" ht="14.25" customHeight="1" spans="4:6">
      <c r="D548" s="180"/>
      <c r="E548" s="136"/>
      <c r="F548" s="180"/>
    </row>
    <row r="549" ht="14.25" customHeight="1" spans="4:6">
      <c r="D549" s="180"/>
      <c r="E549" s="136"/>
      <c r="F549" s="180"/>
    </row>
    <row r="550" ht="14.25" customHeight="1" spans="4:6">
      <c r="D550" s="180"/>
      <c r="E550" s="136"/>
      <c r="F550" s="180"/>
    </row>
    <row r="551" ht="14.25" customHeight="1" spans="4:6">
      <c r="D551" s="180"/>
      <c r="E551" s="136"/>
      <c r="F551" s="180"/>
    </row>
    <row r="552" ht="14.25" customHeight="1" spans="4:6">
      <c r="D552" s="180"/>
      <c r="E552" s="136"/>
      <c r="F552" s="180"/>
    </row>
    <row r="553" ht="14.25" customHeight="1" spans="4:6">
      <c r="D553" s="180"/>
      <c r="E553" s="136"/>
      <c r="F553" s="180"/>
    </row>
    <row r="554" ht="14.25" customHeight="1" spans="4:6">
      <c r="D554" s="180"/>
      <c r="E554" s="136"/>
      <c r="F554" s="180"/>
    </row>
    <row r="555" ht="14.25" customHeight="1" spans="4:6">
      <c r="D555" s="180"/>
      <c r="E555" s="136"/>
      <c r="F555" s="180"/>
    </row>
    <row r="556" ht="14.25" customHeight="1" spans="4:6">
      <c r="D556" s="180"/>
      <c r="E556" s="136"/>
      <c r="F556" s="180"/>
    </row>
    <row r="557" ht="14.25" customHeight="1" spans="4:6">
      <c r="D557" s="180"/>
      <c r="E557" s="136"/>
      <c r="F557" s="180"/>
    </row>
    <row r="558" ht="14.25" customHeight="1" spans="4:6">
      <c r="D558" s="180"/>
      <c r="E558" s="136"/>
      <c r="F558" s="180"/>
    </row>
    <row r="559" ht="14.25" customHeight="1" spans="4:6">
      <c r="D559" s="180"/>
      <c r="E559" s="136"/>
      <c r="F559" s="180"/>
    </row>
    <row r="560" ht="14.25" customHeight="1" spans="4:6">
      <c r="D560" s="180"/>
      <c r="E560" s="136"/>
      <c r="F560" s="180"/>
    </row>
    <row r="561" ht="14.25" customHeight="1" spans="4:6">
      <c r="D561" s="180"/>
      <c r="E561" s="136"/>
      <c r="F561" s="180"/>
    </row>
    <row r="562" ht="14.25" customHeight="1" spans="4:6">
      <c r="D562" s="180"/>
      <c r="E562" s="136"/>
      <c r="F562" s="180"/>
    </row>
    <row r="563" ht="14.25" customHeight="1" spans="4:6">
      <c r="D563" s="180"/>
      <c r="E563" s="136"/>
      <c r="F563" s="180"/>
    </row>
    <row r="564" ht="14.25" customHeight="1" spans="4:6">
      <c r="D564" s="180"/>
      <c r="E564" s="136"/>
      <c r="F564" s="180"/>
    </row>
    <row r="565" ht="14.25" customHeight="1" spans="4:6">
      <c r="D565" s="180"/>
      <c r="E565" s="136"/>
      <c r="F565" s="180"/>
    </row>
    <row r="566" ht="14.25" customHeight="1" spans="4:6">
      <c r="D566" s="180"/>
      <c r="E566" s="136"/>
      <c r="F566" s="180"/>
    </row>
    <row r="567" ht="14.25" customHeight="1" spans="4:6">
      <c r="D567" s="180"/>
      <c r="E567" s="136"/>
      <c r="F567" s="180"/>
    </row>
    <row r="568" ht="14.25" customHeight="1" spans="4:6">
      <c r="D568" s="180"/>
      <c r="E568" s="136"/>
      <c r="F568" s="180"/>
    </row>
    <row r="569" ht="14.25" customHeight="1" spans="4:6">
      <c r="D569" s="180"/>
      <c r="E569" s="136"/>
      <c r="F569" s="180"/>
    </row>
    <row r="570" ht="14.25" customHeight="1" spans="4:6">
      <c r="D570" s="180"/>
      <c r="E570" s="136"/>
      <c r="F570" s="180"/>
    </row>
    <row r="571" ht="14.25" customHeight="1" spans="4:6">
      <c r="D571" s="180"/>
      <c r="E571" s="136"/>
      <c r="F571" s="180"/>
    </row>
    <row r="572" ht="14.25" customHeight="1" spans="4:6">
      <c r="D572" s="180"/>
      <c r="E572" s="136"/>
      <c r="F572" s="180"/>
    </row>
    <row r="573" ht="14.25" customHeight="1" spans="4:6">
      <c r="D573" s="180"/>
      <c r="E573" s="136"/>
      <c r="F573" s="180"/>
    </row>
    <row r="574" ht="14.25" customHeight="1" spans="4:6">
      <c r="D574" s="180"/>
      <c r="E574" s="136"/>
      <c r="F574" s="180"/>
    </row>
    <row r="575" ht="14.25" customHeight="1" spans="4:6">
      <c r="D575" s="180"/>
      <c r="E575" s="136"/>
      <c r="F575" s="180"/>
    </row>
    <row r="576" ht="14.25" customHeight="1" spans="4:6">
      <c r="D576" s="180"/>
      <c r="E576" s="136"/>
      <c r="F576" s="180"/>
    </row>
    <row r="577" ht="14.25" customHeight="1" spans="4:6">
      <c r="D577" s="180"/>
      <c r="E577" s="136"/>
      <c r="F577" s="180"/>
    </row>
    <row r="578" ht="14.25" customHeight="1" spans="4:6">
      <c r="D578" s="180"/>
      <c r="E578" s="136"/>
      <c r="F578" s="180"/>
    </row>
    <row r="579" ht="14.25" customHeight="1" spans="4:6">
      <c r="D579" s="180"/>
      <c r="E579" s="136"/>
      <c r="F579" s="180"/>
    </row>
    <row r="580" ht="14.25" customHeight="1" spans="4:6">
      <c r="D580" s="180"/>
      <c r="E580" s="136"/>
      <c r="F580" s="180"/>
    </row>
    <row r="581" ht="14.25" customHeight="1" spans="4:6">
      <c r="D581" s="180"/>
      <c r="E581" s="136"/>
      <c r="F581" s="180"/>
    </row>
    <row r="582" ht="14.25" customHeight="1" spans="4:6">
      <c r="D582" s="180"/>
      <c r="E582" s="136"/>
      <c r="F582" s="180"/>
    </row>
    <row r="583" ht="14.25" customHeight="1" spans="4:6">
      <c r="D583" s="180"/>
      <c r="E583" s="136"/>
      <c r="F583" s="180"/>
    </row>
    <row r="584" ht="14.25" customHeight="1" spans="4:6">
      <c r="D584" s="180"/>
      <c r="E584" s="136"/>
      <c r="F584" s="180"/>
    </row>
    <row r="585" ht="14.25" customHeight="1" spans="4:6">
      <c r="D585" s="180"/>
      <c r="E585" s="136"/>
      <c r="F585" s="180"/>
    </row>
    <row r="586" ht="14.25" customHeight="1" spans="4:6">
      <c r="D586" s="180"/>
      <c r="E586" s="136"/>
      <c r="F586" s="180"/>
    </row>
    <row r="587" ht="14.25" customHeight="1" spans="4:6">
      <c r="D587" s="180"/>
      <c r="E587" s="136"/>
      <c r="F587" s="180"/>
    </row>
    <row r="588" ht="14.25" customHeight="1" spans="4:6">
      <c r="D588" s="180"/>
      <c r="E588" s="136"/>
      <c r="F588" s="180"/>
    </row>
    <row r="589" ht="14.25" customHeight="1" spans="4:6">
      <c r="D589" s="180"/>
      <c r="E589" s="136"/>
      <c r="F589" s="180"/>
    </row>
    <row r="590" ht="14.25" customHeight="1" spans="4:6">
      <c r="D590" s="180"/>
      <c r="E590" s="136"/>
      <c r="F590" s="180"/>
    </row>
    <row r="591" ht="14.25" customHeight="1" spans="4:6">
      <c r="D591" s="180"/>
      <c r="E591" s="136"/>
      <c r="F591" s="180"/>
    </row>
    <row r="592" ht="14.25" customHeight="1" spans="4:6">
      <c r="D592" s="180"/>
      <c r="E592" s="136"/>
      <c r="F592" s="180"/>
    </row>
    <row r="593" ht="14.25" customHeight="1" spans="4:6">
      <c r="D593" s="180"/>
      <c r="E593" s="136"/>
      <c r="F593" s="180"/>
    </row>
    <row r="594" ht="14.25" customHeight="1" spans="4:6">
      <c r="D594" s="180"/>
      <c r="E594" s="136"/>
      <c r="F594" s="180"/>
    </row>
    <row r="595" ht="14.25" customHeight="1" spans="4:6">
      <c r="D595" s="180"/>
      <c r="E595" s="136"/>
      <c r="F595" s="180"/>
    </row>
    <row r="596" ht="14.25" customHeight="1" spans="4:6">
      <c r="D596" s="180"/>
      <c r="E596" s="136"/>
      <c r="F596" s="180"/>
    </row>
    <row r="597" ht="14.25" customHeight="1" spans="4:6">
      <c r="D597" s="180"/>
      <c r="E597" s="136"/>
      <c r="F597" s="180"/>
    </row>
    <row r="598" ht="14.25" customHeight="1" spans="4:6">
      <c r="D598" s="180"/>
      <c r="E598" s="136"/>
      <c r="F598" s="180"/>
    </row>
    <row r="599" ht="14.25" customHeight="1" spans="4:6">
      <c r="D599" s="180"/>
      <c r="E599" s="136"/>
      <c r="F599" s="180"/>
    </row>
    <row r="600" ht="14.25" customHeight="1" spans="4:6">
      <c r="D600" s="180"/>
      <c r="E600" s="136"/>
      <c r="F600" s="180"/>
    </row>
    <row r="601" ht="14.25" customHeight="1" spans="4:6">
      <c r="D601" s="180"/>
      <c r="E601" s="136"/>
      <c r="F601" s="180"/>
    </row>
    <row r="602" ht="14.25" customHeight="1" spans="4:6">
      <c r="D602" s="180"/>
      <c r="E602" s="136"/>
      <c r="F602" s="180"/>
    </row>
    <row r="603" ht="14.25" customHeight="1" spans="4:6">
      <c r="D603" s="180"/>
      <c r="E603" s="136"/>
      <c r="F603" s="180"/>
    </row>
    <row r="604" ht="14.25" customHeight="1" spans="4:6">
      <c r="D604" s="180"/>
      <c r="E604" s="136"/>
      <c r="F604" s="180"/>
    </row>
    <row r="605" ht="14.25" customHeight="1" spans="4:6">
      <c r="D605" s="180"/>
      <c r="E605" s="136"/>
      <c r="F605" s="180"/>
    </row>
    <row r="606" ht="14.25" customHeight="1" spans="4:6">
      <c r="D606" s="180"/>
      <c r="E606" s="136"/>
      <c r="F606" s="180"/>
    </row>
    <row r="607" ht="14.25" customHeight="1" spans="4:6">
      <c r="D607" s="180"/>
      <c r="E607" s="136"/>
      <c r="F607" s="180"/>
    </row>
    <row r="608" ht="14.25" customHeight="1" spans="4:6">
      <c r="D608" s="180"/>
      <c r="E608" s="136"/>
      <c r="F608" s="180"/>
    </row>
    <row r="609" ht="14.25" customHeight="1" spans="4:6">
      <c r="D609" s="180"/>
      <c r="E609" s="136"/>
      <c r="F609" s="180"/>
    </row>
    <row r="610" ht="14.25" customHeight="1" spans="4:6">
      <c r="D610" s="180"/>
      <c r="E610" s="136"/>
      <c r="F610" s="180"/>
    </row>
    <row r="611" ht="14.25" customHeight="1" spans="4:6">
      <c r="D611" s="180"/>
      <c r="E611" s="136"/>
      <c r="F611" s="180"/>
    </row>
    <row r="612" ht="14.25" customHeight="1" spans="4:6">
      <c r="D612" s="180"/>
      <c r="E612" s="136"/>
      <c r="F612" s="180"/>
    </row>
    <row r="613" ht="14.25" customHeight="1" spans="4:6">
      <c r="D613" s="180"/>
      <c r="E613" s="136"/>
      <c r="F613" s="180"/>
    </row>
    <row r="614" ht="14.25" customHeight="1" spans="4:6">
      <c r="D614" s="180"/>
      <c r="E614" s="136"/>
      <c r="F614" s="180"/>
    </row>
    <row r="615" ht="14.25" customHeight="1" spans="4:6">
      <c r="D615" s="180"/>
      <c r="E615" s="136"/>
      <c r="F615" s="180"/>
    </row>
    <row r="616" ht="14.25" customHeight="1" spans="4:6">
      <c r="D616" s="180"/>
      <c r="E616" s="136"/>
      <c r="F616" s="180"/>
    </row>
    <row r="617" ht="14.25" customHeight="1" spans="4:6">
      <c r="D617" s="180"/>
      <c r="E617" s="136"/>
      <c r="F617" s="180"/>
    </row>
    <row r="618" ht="14.25" customHeight="1" spans="4:6">
      <c r="D618" s="180"/>
      <c r="E618" s="136"/>
      <c r="F618" s="180"/>
    </row>
    <row r="619" ht="14.25" customHeight="1" spans="4:6">
      <c r="D619" s="180"/>
      <c r="E619" s="136"/>
      <c r="F619" s="180"/>
    </row>
    <row r="620" ht="14.25" customHeight="1" spans="4:6">
      <c r="D620" s="180"/>
      <c r="E620" s="136"/>
      <c r="F620" s="180"/>
    </row>
    <row r="621" ht="14.25" customHeight="1" spans="4:6">
      <c r="D621" s="180"/>
      <c r="E621" s="136"/>
      <c r="F621" s="180"/>
    </row>
    <row r="622" ht="14.25" customHeight="1" spans="4:6">
      <c r="D622" s="180"/>
      <c r="E622" s="136"/>
      <c r="F622" s="180"/>
    </row>
    <row r="623" ht="14.25" customHeight="1" spans="4:6">
      <c r="D623" s="180"/>
      <c r="E623" s="136"/>
      <c r="F623" s="180"/>
    </row>
    <row r="624" ht="14.25" customHeight="1" spans="4:6">
      <c r="D624" s="180"/>
      <c r="E624" s="136"/>
      <c r="F624" s="180"/>
    </row>
    <row r="625" ht="14.25" customHeight="1" spans="4:6">
      <c r="D625" s="180"/>
      <c r="E625" s="136"/>
      <c r="F625" s="180"/>
    </row>
    <row r="626" ht="14.25" customHeight="1" spans="4:6">
      <c r="D626" s="180"/>
      <c r="E626" s="136"/>
      <c r="F626" s="180"/>
    </row>
    <row r="627" ht="14.25" customHeight="1" spans="4:6">
      <c r="D627" s="180"/>
      <c r="E627" s="136"/>
      <c r="F627" s="180"/>
    </row>
    <row r="628" ht="14.25" customHeight="1" spans="4:6">
      <c r="D628" s="180"/>
      <c r="E628" s="136"/>
      <c r="F628" s="180"/>
    </row>
    <row r="629" ht="14.25" customHeight="1" spans="4:6">
      <c r="D629" s="180"/>
      <c r="E629" s="136"/>
      <c r="F629" s="180"/>
    </row>
    <row r="630" ht="14.25" customHeight="1" spans="4:6">
      <c r="D630" s="180"/>
      <c r="E630" s="136"/>
      <c r="F630" s="180"/>
    </row>
    <row r="631" ht="14.25" customHeight="1" spans="4:6">
      <c r="D631" s="180"/>
      <c r="E631" s="136"/>
      <c r="F631" s="180"/>
    </row>
    <row r="632" ht="14.25" customHeight="1" spans="4:6">
      <c r="D632" s="180"/>
      <c r="E632" s="136"/>
      <c r="F632" s="180"/>
    </row>
    <row r="633" ht="14.25" customHeight="1" spans="4:6">
      <c r="D633" s="180"/>
      <c r="E633" s="136"/>
      <c r="F633" s="180"/>
    </row>
    <row r="634" ht="14.25" customHeight="1" spans="4:6">
      <c r="D634" s="180"/>
      <c r="E634" s="136"/>
      <c r="F634" s="180"/>
    </row>
    <row r="635" ht="14.25" customHeight="1" spans="4:6">
      <c r="D635" s="180"/>
      <c r="E635" s="136"/>
      <c r="F635" s="180"/>
    </row>
    <row r="636" ht="14.25" customHeight="1" spans="4:6">
      <c r="D636" s="180"/>
      <c r="E636" s="136"/>
      <c r="F636" s="180"/>
    </row>
    <row r="637" ht="14.25" customHeight="1" spans="4:6">
      <c r="D637" s="180"/>
      <c r="E637" s="136"/>
      <c r="F637" s="180"/>
    </row>
    <row r="638" ht="14.25" customHeight="1" spans="4:6">
      <c r="D638" s="180"/>
      <c r="E638" s="136"/>
      <c r="F638" s="180"/>
    </row>
    <row r="639" ht="14.25" customHeight="1" spans="4:6">
      <c r="D639" s="180"/>
      <c r="E639" s="136"/>
      <c r="F639" s="180"/>
    </row>
    <row r="640" ht="14.25" customHeight="1" spans="4:6">
      <c r="D640" s="180"/>
      <c r="E640" s="136"/>
      <c r="F640" s="180"/>
    </row>
  </sheetData>
  <autoFilter xmlns:etc="http://www.wps.cn/officeDocument/2017/etCustomData" ref="B7:F391" etc:filterBottomFollowUsedRange="0">
    <extLst/>
  </autoFilter>
  <mergeCells count="1">
    <mergeCell ref="A1:J4"/>
  </mergeCells>
  <conditionalFormatting sqref="D8:D391">
    <cfRule type="cellIs" dxfId="0" priority="2" operator="greaterThan">
      <formula>0</formula>
    </cfRule>
    <cfRule type="cellIs" dxfId="1" priority="3" operator="lessThan">
      <formula>0</formula>
    </cfRule>
  </conditionalFormatting>
  <conditionalFormatting sqref="D392:D640">
    <cfRule type="cellIs" dxfId="0" priority="6" operator="greaterThan">
      <formula>0</formula>
    </cfRule>
    <cfRule type="cellIs" dxfId="1" priority="7" operator="lessThan">
      <formula>0</formula>
    </cfRule>
  </conditionalFormatting>
  <conditionalFormatting sqref="F9:F391">
    <cfRule type="cellIs" dxfId="0" priority="4" operator="greaterThan">
      <formula>0</formula>
    </cfRule>
    <cfRule type="cellIs" dxfId="1" priority="5" operator="lessThan">
      <formula>0</formula>
    </cfRule>
  </conditionalFormatting>
  <conditionalFormatting sqref="F392:F640">
    <cfRule type="cellIs" dxfId="0" priority="8" operator="greaterThan">
      <formula>0</formula>
    </cfRule>
    <cfRule type="cellIs" dxfId="1" priority="9" operator="lessThan">
      <formula>0</formula>
    </cfRule>
  </conditionalFormatting>
  <pageMargins left="0.75" right="0.75" top="1" bottom="1" header="0.511811023622047" footer="0.511811023622047"/>
  <pageSetup paperSize="9" orientation="portrait" horizontalDpi="300" verticalDpi="300"/>
  <headerFooter/>
  <ignoredErrors>
    <ignoredError sqref="E15:E18" formula="1"/>
    <ignoredError sqref="I8:I10" formulaRange="1"/>
  </ignoredError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O2626"/>
  <sheetViews>
    <sheetView showGridLines="0" zoomScale="75" zoomScaleNormal="75" topLeftCell="A5" workbookViewId="0">
      <selection activeCell="B6" sqref="B6"/>
    </sheetView>
  </sheetViews>
  <sheetFormatPr defaultColWidth="8.89814814814815" defaultRowHeight="14.4"/>
  <cols>
    <col min="1" max="1" width="2.11111111111111" style="1" customWidth="1"/>
    <col min="2" max="2" width="15.4444444444444" style="1" customWidth="1"/>
    <col min="3" max="3" width="21.7685185185185" style="126" customWidth="1"/>
    <col min="4" max="4" width="21.7685185185185" style="127" customWidth="1"/>
    <col min="6" max="6" width="16.7685185185185" style="1" customWidth="1"/>
    <col min="7" max="7" width="19.3333333333333" style="1" customWidth="1"/>
    <col min="8" max="8" width="9.66666666666667" style="1" customWidth="1"/>
    <col min="9" max="9" width="10.25" style="1" customWidth="1"/>
    <col min="12" max="12" width="15.2037037037037" style="1" customWidth="1"/>
  </cols>
  <sheetData>
    <row r="1" ht="14.25" customHeight="1" spans="1:13">
      <c r="A1" s="2" t="s">
        <v>84</v>
      </c>
      <c r="B1" s="2"/>
      <c r="C1" s="2"/>
      <c r="D1" s="2"/>
      <c r="E1" s="2"/>
      <c r="F1" s="2"/>
      <c r="G1" s="2"/>
      <c r="H1" s="2"/>
      <c r="I1" s="2"/>
      <c r="J1" s="2"/>
    </row>
    <row r="2" ht="14.25" customHeight="1" spans="1:13">
      <c r="A2" s="2"/>
      <c r="B2" s="2"/>
      <c r="C2" s="2"/>
      <c r="D2" s="2"/>
      <c r="E2" s="2"/>
      <c r="F2" s="2"/>
      <c r="G2" s="2"/>
      <c r="H2" s="2"/>
      <c r="I2" s="2"/>
      <c r="J2" s="2"/>
    </row>
    <row r="3" ht="14.25" customHeight="1" spans="1:13">
      <c r="A3" s="2"/>
      <c r="B3" s="2"/>
      <c r="C3" s="2"/>
      <c r="D3" s="2"/>
      <c r="E3" s="2"/>
      <c r="F3" s="2"/>
      <c r="G3" s="2"/>
      <c r="H3" s="2"/>
      <c r="I3" s="2"/>
      <c r="J3" s="2"/>
    </row>
    <row r="4" ht="14.25" customHeight="1" spans="1:13">
      <c r="A4" s="2"/>
      <c r="B4" s="2"/>
      <c r="C4" s="2"/>
      <c r="D4" s="2"/>
      <c r="E4" s="2"/>
      <c r="F4" s="2"/>
      <c r="G4" s="2"/>
      <c r="H4" s="2"/>
      <c r="I4" s="2"/>
      <c r="J4" s="2"/>
    </row>
    <row r="7" ht="14.25" customHeight="1" spans="1:13">
      <c r="B7" s="128" t="s">
        <v>361</v>
      </c>
      <c r="C7" s="129" t="s">
        <v>432</v>
      </c>
      <c r="D7" s="129" t="s">
        <v>431</v>
      </c>
    </row>
    <row r="8" s="74" customFormat="1" ht="14.25" customHeight="1" spans="1:13">
      <c r="A8" s="130"/>
      <c r="B8" s="131">
        <v>46224</v>
      </c>
      <c r="C8" s="132">
        <v>24193.15</v>
      </c>
      <c r="D8" s="133" t="s">
        <v>109</v>
      </c>
      <c r="F8" s="130"/>
      <c r="G8" s="130"/>
      <c r="I8" s="130"/>
      <c r="L8" s="134"/>
    </row>
    <row r="9" s="74" customFormat="1" ht="14.25" customHeight="1" spans="1:13">
      <c r="A9" s="130"/>
      <c r="B9" s="131">
        <v>46223</v>
      </c>
      <c r="C9" s="132">
        <v>24238.5</v>
      </c>
      <c r="D9" s="135">
        <f t="shared" ref="D9:D72" si="0">C8/C9-1</f>
        <v>-0.00187099036656557</v>
      </c>
      <c r="F9" s="130"/>
      <c r="G9" s="125"/>
      <c r="H9" s="136"/>
      <c r="I9" s="130"/>
      <c r="L9" s="134"/>
    </row>
    <row r="10" s="74" customFormat="1" ht="14.25" customHeight="1" spans="1:13">
      <c r="A10" s="130"/>
      <c r="B10" s="131">
        <v>46220</v>
      </c>
      <c r="C10" s="132">
        <v>24334.3</v>
      </c>
      <c r="D10" s="135">
        <f t="shared" si="0"/>
        <v>-0.00393682990675714</v>
      </c>
      <c r="F10" s="130"/>
      <c r="G10" s="125"/>
      <c r="H10" s="136"/>
      <c r="I10" s="130"/>
      <c r="L10" s="134"/>
    </row>
    <row r="11" s="74" customFormat="1" ht="14.25" customHeight="1" spans="1:13">
      <c r="A11" s="130"/>
      <c r="B11" s="131">
        <v>46219</v>
      </c>
      <c r="C11" s="132">
        <v>24072.75</v>
      </c>
      <c r="D11" s="135">
        <f t="shared" si="0"/>
        <v>0.0108649821894049</v>
      </c>
      <c r="F11" s="130"/>
      <c r="G11" s="125"/>
      <c r="H11" s="136"/>
      <c r="I11" s="130"/>
      <c r="L11" s="134"/>
    </row>
    <row r="12" s="74" customFormat="1" ht="14.25" customHeight="1" spans="1:13">
      <c r="A12" s="130"/>
      <c r="B12" s="131">
        <v>46218</v>
      </c>
      <c r="C12" s="132">
        <v>24078.5</v>
      </c>
      <c r="D12" s="135">
        <f t="shared" si="0"/>
        <v>-0.000238802250970838</v>
      </c>
      <c r="F12" s="130"/>
      <c r="G12" s="125"/>
      <c r="H12" s="136"/>
      <c r="I12" s="130"/>
      <c r="L12" s="134"/>
    </row>
    <row r="13" s="74" customFormat="1" ht="14.25" customHeight="1" spans="1:13">
      <c r="A13" s="130"/>
      <c r="B13" s="131">
        <v>46217</v>
      </c>
      <c r="C13" s="132">
        <v>24052.05</v>
      </c>
      <c r="D13" s="135">
        <f t="shared" si="0"/>
        <v>0.00109969836250956</v>
      </c>
      <c r="F13" s="130"/>
      <c r="G13" s="125"/>
      <c r="H13" s="136"/>
      <c r="I13" s="130"/>
      <c r="L13" s="134"/>
    </row>
    <row r="14" s="74" customFormat="1" ht="14.25" customHeight="1" spans="1:13">
      <c r="A14" s="130"/>
      <c r="B14" s="131">
        <v>46216</v>
      </c>
      <c r="C14" s="132">
        <v>24211</v>
      </c>
      <c r="D14" s="135">
        <f t="shared" si="0"/>
        <v>-0.00656519763743757</v>
      </c>
      <c r="F14" s="130"/>
      <c r="G14" s="130"/>
      <c r="I14" s="130"/>
      <c r="L14" s="134"/>
    </row>
    <row r="15" s="125" customFormat="1" ht="14.25" customHeight="1" spans="1:13">
      <c r="B15" s="131">
        <v>46213</v>
      </c>
      <c r="C15" s="132">
        <v>24206.9</v>
      </c>
      <c r="D15" s="135">
        <f t="shared" si="0"/>
        <v>0.000169373195245903</v>
      </c>
      <c r="L15" s="74"/>
      <c r="M15" s="74"/>
    </row>
    <row r="16" s="125" customFormat="1" ht="14.25" customHeight="1" spans="1:13">
      <c r="B16" s="137">
        <v>46212</v>
      </c>
      <c r="C16" s="132">
        <v>23962.8</v>
      </c>
      <c r="D16" s="135">
        <f t="shared" si="0"/>
        <v>0.0101866225983609</v>
      </c>
    </row>
    <row r="17" s="125" customFormat="1" ht="14.25" customHeight="1" spans="2:15">
      <c r="B17" s="137">
        <v>46211</v>
      </c>
      <c r="C17" s="132">
        <v>23882.05</v>
      </c>
      <c r="D17" s="135">
        <f t="shared" si="0"/>
        <v>0.00338120052508062</v>
      </c>
    </row>
    <row r="18" s="125" customFormat="1" ht="14.25" customHeight="1" spans="2:15">
      <c r="B18" s="137">
        <v>46210</v>
      </c>
      <c r="C18" s="132">
        <v>24398.7</v>
      </c>
      <c r="D18" s="135">
        <f t="shared" si="0"/>
        <v>-0.021175308520536</v>
      </c>
    </row>
    <row r="19" ht="14.25" customHeight="1" spans="2:15">
      <c r="B19" s="137">
        <v>46209</v>
      </c>
      <c r="C19" s="132">
        <v>24379.35</v>
      </c>
      <c r="D19" s="135">
        <f t="shared" si="0"/>
        <v>0.000793704508118553</v>
      </c>
    </row>
    <row r="20" ht="14.25" customHeight="1" spans="2:15">
      <c r="B20" s="137">
        <v>46206</v>
      </c>
      <c r="C20" s="132">
        <v>24270.85</v>
      </c>
      <c r="D20" s="135">
        <f t="shared" si="0"/>
        <v>0.00447038319630333</v>
      </c>
      <c r="I20" s="138"/>
      <c r="J20" s="136"/>
      <c r="K20" s="136"/>
      <c r="L20" s="136"/>
      <c r="M20" s="136"/>
      <c r="N20" s="125"/>
      <c r="O20" s="139"/>
    </row>
    <row r="21" ht="14.25" customHeight="1" spans="2:15">
      <c r="B21" s="137">
        <v>46205</v>
      </c>
      <c r="C21" s="132">
        <v>24175.7</v>
      </c>
      <c r="D21" s="135">
        <f t="shared" si="0"/>
        <v>0.00393577021554692</v>
      </c>
      <c r="I21" s="138"/>
      <c r="J21" s="136"/>
      <c r="K21" s="136"/>
      <c r="L21" s="136"/>
      <c r="M21" s="136"/>
      <c r="N21" s="125"/>
      <c r="O21" s="139"/>
    </row>
    <row r="22" ht="14.25" customHeight="1" spans="2:15">
      <c r="B22" s="137">
        <v>46204</v>
      </c>
      <c r="C22" s="132">
        <v>24005.85</v>
      </c>
      <c r="D22" s="135">
        <f t="shared" si="0"/>
        <v>0.00707535871464682</v>
      </c>
      <c r="F22" s="140" t="s">
        <v>438</v>
      </c>
      <c r="G22" s="68" t="s">
        <v>439</v>
      </c>
      <c r="I22" s="138"/>
      <c r="J22" s="136"/>
      <c r="K22" s="136"/>
      <c r="L22" s="136"/>
      <c r="M22" s="136"/>
      <c r="N22" s="125"/>
      <c r="O22" s="139"/>
    </row>
    <row r="23" ht="14.25" customHeight="1" spans="2:15">
      <c r="B23" s="137">
        <v>46203</v>
      </c>
      <c r="C23" s="132">
        <v>23865.75</v>
      </c>
      <c r="D23" s="135">
        <f t="shared" si="0"/>
        <v>0.00587033719870522</v>
      </c>
      <c r="F23" s="140"/>
      <c r="G23" s="68"/>
      <c r="I23" s="138"/>
      <c r="J23" s="136"/>
    </row>
    <row r="24" ht="14.25" customHeight="1" spans="2:15">
      <c r="B24" s="137">
        <v>46202</v>
      </c>
      <c r="C24" s="132">
        <v>23946.25</v>
      </c>
      <c r="D24" s="135">
        <f t="shared" si="0"/>
        <v>-0.00336169546379916</v>
      </c>
      <c r="F24" s="140" t="s">
        <v>440</v>
      </c>
      <c r="G24" s="141">
        <f>YEARFRAC(B2620,B8)</f>
        <v>10.5555555555556</v>
      </c>
    </row>
    <row r="25" ht="14.25" customHeight="1" spans="2:15">
      <c r="B25" s="137">
        <v>46198</v>
      </c>
      <c r="C25" s="132">
        <v>24056</v>
      </c>
      <c r="D25" s="135">
        <f t="shared" si="0"/>
        <v>-0.00456227136681076</v>
      </c>
      <c r="F25" s="140"/>
      <c r="G25" s="142"/>
    </row>
    <row r="26" ht="14.25" customHeight="1" spans="2:15">
      <c r="B26" s="137">
        <v>46197</v>
      </c>
      <c r="C26" s="132">
        <v>24021.65</v>
      </c>
      <c r="D26" s="135">
        <f t="shared" si="0"/>
        <v>0.00142996005686524</v>
      </c>
      <c r="F26" s="140" t="s">
        <v>441</v>
      </c>
      <c r="G26" s="143">
        <f>RATE(G24,0,-C2620,C8)</f>
        <v>0.111016360386321</v>
      </c>
    </row>
    <row r="27" ht="14.25" customHeight="1" spans="2:15">
      <c r="B27" s="137">
        <v>46196</v>
      </c>
      <c r="C27" s="132">
        <v>23824.1</v>
      </c>
      <c r="D27" s="135">
        <f t="shared" si="0"/>
        <v>0.00829202362313808</v>
      </c>
    </row>
    <row r="28" ht="14.25" customHeight="1" spans="2:15">
      <c r="B28" s="137">
        <v>46195</v>
      </c>
      <c r="C28" s="132">
        <v>24102.9</v>
      </c>
      <c r="D28" s="135">
        <f t="shared" si="0"/>
        <v>-0.0115670728418573</v>
      </c>
    </row>
    <row r="29" ht="14.25" customHeight="1" spans="2:15">
      <c r="B29" s="137">
        <v>46192</v>
      </c>
      <c r="C29" s="132">
        <v>24013.1</v>
      </c>
      <c r="D29" s="135">
        <f t="shared" si="0"/>
        <v>0.00373962545443951</v>
      </c>
    </row>
    <row r="30" ht="14.25" customHeight="1" spans="2:15">
      <c r="B30" s="137">
        <v>46191</v>
      </c>
      <c r="C30" s="132">
        <v>24168</v>
      </c>
      <c r="D30" s="135">
        <f t="shared" si="0"/>
        <v>-0.00640930155577635</v>
      </c>
    </row>
    <row r="31" ht="14.25" customHeight="1" spans="2:15">
      <c r="B31" s="137">
        <v>46190</v>
      </c>
      <c r="C31" s="132">
        <v>24085.7</v>
      </c>
      <c r="D31" s="135">
        <f t="shared" si="0"/>
        <v>0.00341696525324142</v>
      </c>
    </row>
    <row r="32" ht="14.25" customHeight="1" spans="2:15">
      <c r="B32" s="137">
        <v>46189</v>
      </c>
      <c r="C32" s="132">
        <v>23989.15</v>
      </c>
      <c r="D32" s="135">
        <f t="shared" si="0"/>
        <v>0.00402473618281585</v>
      </c>
    </row>
    <row r="33" ht="14.25" customHeight="1" spans="2:4">
      <c r="B33" s="137">
        <v>46188</v>
      </c>
      <c r="C33" s="132">
        <v>23853.9</v>
      </c>
      <c r="D33" s="135">
        <f t="shared" si="0"/>
        <v>0.00566993238003</v>
      </c>
    </row>
    <row r="34" ht="14.25" customHeight="1" spans="2:4">
      <c r="B34" s="137">
        <v>46185</v>
      </c>
      <c r="C34" s="132">
        <v>23622.9</v>
      </c>
      <c r="D34" s="135">
        <f t="shared" si="0"/>
        <v>0.00977864699084363</v>
      </c>
    </row>
    <row r="35" ht="14.25" customHeight="1" spans="2:4">
      <c r="B35" s="137">
        <v>46184</v>
      </c>
      <c r="C35" s="132">
        <v>23161.6</v>
      </c>
      <c r="D35" s="135">
        <f t="shared" si="0"/>
        <v>0.0199165860735011</v>
      </c>
    </row>
    <row r="36" ht="14.25" customHeight="1" spans="2:4">
      <c r="B36" s="137">
        <v>46183</v>
      </c>
      <c r="C36" s="132">
        <v>23214.95</v>
      </c>
      <c r="D36" s="135">
        <f t="shared" si="0"/>
        <v>-0.00229808808547949</v>
      </c>
    </row>
    <row r="37" ht="14.25" customHeight="1" spans="2:4">
      <c r="B37" s="137">
        <v>46182</v>
      </c>
      <c r="C37" s="132">
        <v>23242.1</v>
      </c>
      <c r="D37" s="135">
        <f t="shared" si="0"/>
        <v>-0.00116813885148059</v>
      </c>
    </row>
    <row r="38" ht="14.25" customHeight="1" spans="2:4">
      <c r="B38" s="137">
        <v>46181</v>
      </c>
      <c r="C38" s="132">
        <v>23123</v>
      </c>
      <c r="D38" s="135">
        <f t="shared" si="0"/>
        <v>0.00515071573757719</v>
      </c>
    </row>
    <row r="39" ht="14.25" customHeight="1" spans="2:4">
      <c r="B39" s="137">
        <v>46178</v>
      </c>
      <c r="C39" s="132">
        <v>23366.7</v>
      </c>
      <c r="D39" s="135">
        <f t="shared" si="0"/>
        <v>-0.0104293717127365</v>
      </c>
    </row>
    <row r="40" ht="14.25" customHeight="1" spans="2:4">
      <c r="B40" s="137">
        <v>46177</v>
      </c>
      <c r="C40" s="132">
        <v>23416.55</v>
      </c>
      <c r="D40" s="135">
        <f t="shared" si="0"/>
        <v>-0.00212883622907722</v>
      </c>
    </row>
    <row r="41" ht="14.25" customHeight="1" spans="2:4">
      <c r="B41" s="137">
        <v>46176</v>
      </c>
      <c r="C41" s="132">
        <v>23405.6</v>
      </c>
      <c r="D41" s="135">
        <f t="shared" si="0"/>
        <v>0.00046783675701545</v>
      </c>
    </row>
    <row r="42" ht="14.25" customHeight="1" spans="2:4">
      <c r="B42" s="137">
        <v>46175</v>
      </c>
      <c r="C42" s="132">
        <v>23483.55</v>
      </c>
      <c r="D42" s="135">
        <f t="shared" si="0"/>
        <v>-0.00331934481796836</v>
      </c>
    </row>
    <row r="43" ht="14.25" customHeight="1" spans="2:4">
      <c r="B43" s="137">
        <v>46174</v>
      </c>
      <c r="C43" s="132">
        <v>23382.6</v>
      </c>
      <c r="D43" s="135">
        <f t="shared" si="0"/>
        <v>0.00431731287367532</v>
      </c>
    </row>
    <row r="44" ht="14.25" customHeight="1" spans="2:4">
      <c r="B44" s="137">
        <v>46171</v>
      </c>
      <c r="C44" s="132">
        <v>23547.75</v>
      </c>
      <c r="D44" s="135">
        <f t="shared" si="0"/>
        <v>-0.0070134089244196</v>
      </c>
    </row>
    <row r="45" ht="14.25" customHeight="1" spans="2:4">
      <c r="B45" s="137">
        <v>46169</v>
      </c>
      <c r="C45" s="132">
        <v>23907.15</v>
      </c>
      <c r="D45" s="135">
        <f t="shared" si="0"/>
        <v>-0.0150331595359547</v>
      </c>
    </row>
    <row r="46" ht="14.25" customHeight="1" spans="2:4">
      <c r="B46" s="137">
        <v>46168</v>
      </c>
      <c r="C46" s="132">
        <v>23913.7</v>
      </c>
      <c r="D46" s="135">
        <f t="shared" si="0"/>
        <v>-0.000273901571065882</v>
      </c>
    </row>
    <row r="47" ht="14.25" customHeight="1" spans="2:4">
      <c r="B47" s="137">
        <v>46167</v>
      </c>
      <c r="C47" s="132">
        <v>24031.7</v>
      </c>
      <c r="D47" s="135">
        <f t="shared" si="0"/>
        <v>-0.00491018113574981</v>
      </c>
    </row>
    <row r="48" ht="14.25" customHeight="1" spans="2:4">
      <c r="B48" s="137">
        <v>46164</v>
      </c>
      <c r="C48" s="132">
        <v>23719.3</v>
      </c>
      <c r="D48" s="135">
        <f t="shared" si="0"/>
        <v>0.0131707090850068</v>
      </c>
    </row>
    <row r="49" ht="14.25" customHeight="1" spans="2:4">
      <c r="B49" s="137">
        <v>46163</v>
      </c>
      <c r="C49" s="132">
        <v>23654.7</v>
      </c>
      <c r="D49" s="135">
        <f t="shared" si="0"/>
        <v>0.00273095832963421</v>
      </c>
    </row>
    <row r="50" ht="14.25" customHeight="1" spans="2:4">
      <c r="B50" s="137">
        <v>46162</v>
      </c>
      <c r="C50" s="132">
        <v>23659</v>
      </c>
      <c r="D50" s="135">
        <f t="shared" si="0"/>
        <v>-0.000181749017287292</v>
      </c>
    </row>
    <row r="51" ht="14.25" customHeight="1" spans="2:4">
      <c r="B51" s="137">
        <v>46161</v>
      </c>
      <c r="C51" s="132">
        <v>23618</v>
      </c>
      <c r="D51" s="135">
        <f t="shared" si="0"/>
        <v>0.00173596409518173</v>
      </c>
    </row>
    <row r="52" ht="14.25" customHeight="1" spans="2:4">
      <c r="B52" s="137">
        <v>46160</v>
      </c>
      <c r="C52" s="132">
        <v>23649.95</v>
      </c>
      <c r="D52" s="135">
        <f t="shared" si="0"/>
        <v>-0.00135095423034726</v>
      </c>
    </row>
    <row r="53" ht="14.25" customHeight="1" spans="2:4">
      <c r="B53" s="137">
        <v>46157</v>
      </c>
      <c r="C53" s="132">
        <v>23643.5</v>
      </c>
      <c r="D53" s="135">
        <f t="shared" si="0"/>
        <v>0.000272802250089965</v>
      </c>
    </row>
    <row r="54" ht="14.25" customHeight="1" spans="2:4">
      <c r="B54" s="137">
        <v>46156</v>
      </c>
      <c r="C54" s="132">
        <v>23689.6</v>
      </c>
      <c r="D54" s="135">
        <f t="shared" si="0"/>
        <v>-0.00194600162096437</v>
      </c>
    </row>
    <row r="55" ht="14.25" customHeight="1" spans="2:4">
      <c r="B55" s="137">
        <v>46155</v>
      </c>
      <c r="C55" s="132">
        <v>23412.6</v>
      </c>
      <c r="D55" s="135">
        <f t="shared" si="0"/>
        <v>0.0118312361719757</v>
      </c>
    </row>
    <row r="56" ht="14.25" customHeight="1" spans="2:4">
      <c r="B56" s="137">
        <v>46154</v>
      </c>
      <c r="C56" s="132">
        <v>23379.55</v>
      </c>
      <c r="D56" s="135">
        <f t="shared" si="0"/>
        <v>0.00141362857711114</v>
      </c>
    </row>
    <row r="57" ht="14.25" customHeight="1" spans="2:4">
      <c r="B57" s="137">
        <v>46153</v>
      </c>
      <c r="C57" s="132">
        <v>23815.85</v>
      </c>
      <c r="D57" s="135">
        <f t="shared" si="0"/>
        <v>-0.0183197324470887</v>
      </c>
    </row>
    <row r="58" ht="14.25" customHeight="1" spans="2:4">
      <c r="B58" s="137">
        <v>46150</v>
      </c>
      <c r="C58" s="132">
        <v>24176.15</v>
      </c>
      <c r="D58" s="135">
        <f t="shared" si="0"/>
        <v>-0.0149031173284416</v>
      </c>
    </row>
    <row r="59" ht="14.25" customHeight="1" spans="2:4">
      <c r="B59" s="137">
        <v>46149</v>
      </c>
      <c r="C59" s="132">
        <v>24326.65</v>
      </c>
      <c r="D59" s="135">
        <f t="shared" si="0"/>
        <v>-0.00618663071158587</v>
      </c>
    </row>
    <row r="60" ht="14.25" customHeight="1" spans="2:4">
      <c r="B60" s="137">
        <v>46148</v>
      </c>
      <c r="C60" s="132">
        <v>24330.95</v>
      </c>
      <c r="D60" s="135">
        <f t="shared" si="0"/>
        <v>-0.000176729638587836</v>
      </c>
    </row>
    <row r="61" ht="14.25" customHeight="1" spans="2:4">
      <c r="B61" s="137">
        <v>46147</v>
      </c>
      <c r="C61" s="132">
        <v>24032.8</v>
      </c>
      <c r="D61" s="135">
        <f t="shared" si="0"/>
        <v>0.0124059618521355</v>
      </c>
    </row>
    <row r="62" ht="14.25" customHeight="1" spans="2:4">
      <c r="B62" s="137">
        <v>46146</v>
      </c>
      <c r="C62" s="132">
        <v>24119.3</v>
      </c>
      <c r="D62" s="135">
        <f t="shared" si="0"/>
        <v>-0.00358633957038557</v>
      </c>
    </row>
    <row r="63" ht="14.25" customHeight="1" spans="2:4">
      <c r="B63" s="137">
        <v>46142</v>
      </c>
      <c r="C63" s="132">
        <v>23997.55</v>
      </c>
      <c r="D63" s="135">
        <f t="shared" si="0"/>
        <v>0.00507343457978005</v>
      </c>
    </row>
    <row r="64" ht="14.25" customHeight="1" spans="2:4">
      <c r="B64" s="137">
        <v>46141</v>
      </c>
      <c r="C64" s="132">
        <v>24177.65</v>
      </c>
      <c r="D64" s="135">
        <f t="shared" si="0"/>
        <v>-0.00744902833815542</v>
      </c>
    </row>
    <row r="65" ht="14.25" customHeight="1" spans="2:4">
      <c r="B65" s="137">
        <v>46140</v>
      </c>
      <c r="C65" s="132">
        <v>23995.7</v>
      </c>
      <c r="D65" s="135">
        <f t="shared" si="0"/>
        <v>0.0075826085506987</v>
      </c>
    </row>
    <row r="66" ht="14.25" customHeight="1" spans="2:4">
      <c r="B66" s="137">
        <v>46139</v>
      </c>
      <c r="C66" s="132">
        <v>24092.7</v>
      </c>
      <c r="D66" s="135">
        <f t="shared" si="0"/>
        <v>-0.0040261157944107</v>
      </c>
    </row>
    <row r="67" ht="14.25" customHeight="1" spans="2:4">
      <c r="B67" s="137">
        <v>46136</v>
      </c>
      <c r="C67" s="132">
        <v>23897.95</v>
      </c>
      <c r="D67" s="135">
        <f t="shared" si="0"/>
        <v>0.00814923455777583</v>
      </c>
    </row>
    <row r="68" ht="14.25" customHeight="1" spans="2:4">
      <c r="B68" s="137">
        <v>46135</v>
      </c>
      <c r="C68" s="132">
        <v>24173.05</v>
      </c>
      <c r="D68" s="135">
        <f t="shared" si="0"/>
        <v>-0.0113804422693867</v>
      </c>
    </row>
    <row r="69" ht="14.25" customHeight="1" spans="2:4">
      <c r="B69" s="137">
        <v>46134</v>
      </c>
      <c r="C69" s="132">
        <v>24378.1</v>
      </c>
      <c r="D69" s="135">
        <f t="shared" si="0"/>
        <v>-0.0084112379553779</v>
      </c>
    </row>
    <row r="70" ht="14.25" customHeight="1" spans="2:4">
      <c r="B70" s="137">
        <v>46133</v>
      </c>
      <c r="C70" s="132">
        <v>24576.6</v>
      </c>
      <c r="D70" s="135">
        <f t="shared" si="0"/>
        <v>-0.00807678848986437</v>
      </c>
    </row>
    <row r="71" ht="14.25" customHeight="1" spans="2:4">
      <c r="B71" s="137">
        <v>46132</v>
      </c>
      <c r="C71" s="132">
        <v>24364.85</v>
      </c>
      <c r="D71" s="135">
        <f t="shared" si="0"/>
        <v>0.00869079842477993</v>
      </c>
    </row>
    <row r="72" ht="14.25" customHeight="1" spans="2:4">
      <c r="B72" s="137">
        <v>46129</v>
      </c>
      <c r="C72" s="132">
        <v>24353.55</v>
      </c>
      <c r="D72" s="135">
        <f t="shared" si="0"/>
        <v>0.00046399806188413</v>
      </c>
    </row>
    <row r="73" ht="14.25" customHeight="1" spans="2:4">
      <c r="B73" s="137">
        <v>46128</v>
      </c>
      <c r="C73" s="132">
        <v>24196.75</v>
      </c>
      <c r="D73" s="135">
        <f t="shared" ref="D73:D136" si="1">C72/C73-1</f>
        <v>0.00648020911899327</v>
      </c>
    </row>
    <row r="74" ht="14.25" customHeight="1" spans="2:4">
      <c r="B74" s="137">
        <v>46127</v>
      </c>
      <c r="C74" s="132">
        <v>24231.3</v>
      </c>
      <c r="D74" s="135">
        <f t="shared" si="1"/>
        <v>-0.0014258417831482</v>
      </c>
    </row>
    <row r="75" ht="14.25" customHeight="1" spans="2:4">
      <c r="B75" s="137">
        <v>46125</v>
      </c>
      <c r="C75" s="132">
        <v>23842.65</v>
      </c>
      <c r="D75" s="135">
        <f t="shared" si="1"/>
        <v>0.0163006209460776</v>
      </c>
    </row>
    <row r="76" ht="14.25" customHeight="1" spans="2:4">
      <c r="B76" s="137">
        <v>46122</v>
      </c>
      <c r="C76" s="132">
        <v>24050.6</v>
      </c>
      <c r="D76" s="135">
        <f t="shared" si="1"/>
        <v>-0.00864635393711577</v>
      </c>
    </row>
    <row r="77" ht="14.25" customHeight="1" spans="2:4">
      <c r="B77" s="137">
        <v>46121</v>
      </c>
      <c r="C77" s="132">
        <v>23775.1</v>
      </c>
      <c r="D77" s="135">
        <f t="shared" si="1"/>
        <v>0.0115877535741176</v>
      </c>
    </row>
    <row r="78" ht="14.25" customHeight="1" spans="2:4">
      <c r="B78" s="137">
        <v>46120</v>
      </c>
      <c r="C78" s="132">
        <v>23997.35</v>
      </c>
      <c r="D78" s="135">
        <f t="shared" si="1"/>
        <v>-0.00926143928392098</v>
      </c>
    </row>
    <row r="79" ht="14.25" customHeight="1" spans="2:4">
      <c r="B79" s="137">
        <v>46119</v>
      </c>
      <c r="C79" s="132">
        <v>23123.65</v>
      </c>
      <c r="D79" s="135">
        <f t="shared" si="1"/>
        <v>0.0377838273801929</v>
      </c>
    </row>
    <row r="80" ht="14.25" customHeight="1" spans="2:4">
      <c r="B80" s="137">
        <v>46118</v>
      </c>
      <c r="C80" s="132">
        <v>22968.25</v>
      </c>
      <c r="D80" s="135">
        <f t="shared" si="1"/>
        <v>0.00676586156977566</v>
      </c>
    </row>
    <row r="81" ht="14.25" customHeight="1" spans="2:4">
      <c r="B81" s="137">
        <v>46114</v>
      </c>
      <c r="C81" s="132">
        <v>22713.1</v>
      </c>
      <c r="D81" s="135">
        <f t="shared" si="1"/>
        <v>0.0112336052762503</v>
      </c>
    </row>
    <row r="82" ht="14.25" customHeight="1" spans="2:4">
      <c r="B82" s="137">
        <v>46113</v>
      </c>
      <c r="C82" s="132">
        <v>22679.4</v>
      </c>
      <c r="D82" s="135">
        <f t="shared" si="1"/>
        <v>0.00148592996287378</v>
      </c>
    </row>
    <row r="83" ht="14.25" customHeight="1" spans="2:4">
      <c r="B83" s="137">
        <v>46111</v>
      </c>
      <c r="C83" s="132">
        <v>22331.4</v>
      </c>
      <c r="D83" s="135">
        <f t="shared" si="1"/>
        <v>0.0155834385663236</v>
      </c>
    </row>
    <row r="84" ht="14.25" customHeight="1" spans="2:4">
      <c r="B84" s="137">
        <v>46108</v>
      </c>
      <c r="C84" s="132">
        <v>22819.6</v>
      </c>
      <c r="D84" s="135">
        <f t="shared" si="1"/>
        <v>-0.0213938894634436</v>
      </c>
    </row>
    <row r="85" ht="14.25" customHeight="1" spans="2:4">
      <c r="B85" s="137">
        <v>46106</v>
      </c>
      <c r="C85" s="132">
        <v>23306.45</v>
      </c>
      <c r="D85" s="135">
        <f t="shared" si="1"/>
        <v>-0.020889067189555</v>
      </c>
    </row>
    <row r="86" ht="14.25" customHeight="1" spans="2:4">
      <c r="B86" s="137">
        <v>46105</v>
      </c>
      <c r="C86" s="132">
        <v>22912.4</v>
      </c>
      <c r="D86" s="135">
        <f t="shared" si="1"/>
        <v>0.0171981110664967</v>
      </c>
    </row>
    <row r="87" ht="14.25" customHeight="1" spans="2:4">
      <c r="B87" s="137">
        <v>46104</v>
      </c>
      <c r="C87" s="132">
        <v>22512.65</v>
      </c>
      <c r="D87" s="135">
        <f t="shared" si="1"/>
        <v>0.0177566834646299</v>
      </c>
    </row>
    <row r="88" ht="14.25" customHeight="1" spans="2:4">
      <c r="B88" s="137">
        <v>46101</v>
      </c>
      <c r="C88" s="132">
        <v>23114.5</v>
      </c>
      <c r="D88" s="135">
        <f t="shared" si="1"/>
        <v>-0.0260377685002919</v>
      </c>
    </row>
    <row r="89" ht="14.25" customHeight="1" spans="2:4">
      <c r="B89" s="137">
        <v>46100</v>
      </c>
      <c r="C89" s="132">
        <v>23002.15</v>
      </c>
      <c r="D89" s="135">
        <f t="shared" si="1"/>
        <v>0.00488432603039279</v>
      </c>
    </row>
    <row r="90" ht="14.25" customHeight="1" spans="2:4">
      <c r="B90" s="137">
        <v>46099</v>
      </c>
      <c r="C90" s="132">
        <v>23777.8</v>
      </c>
      <c r="D90" s="135">
        <f t="shared" si="1"/>
        <v>-0.032620763905828</v>
      </c>
    </row>
    <row r="91" ht="14.25" customHeight="1" spans="2:4">
      <c r="B91" s="137">
        <v>46098</v>
      </c>
      <c r="C91" s="132">
        <v>23581.15</v>
      </c>
      <c r="D91" s="135">
        <f t="shared" si="1"/>
        <v>0.0083392879482127</v>
      </c>
    </row>
    <row r="92" ht="14.25" customHeight="1" spans="2:4">
      <c r="B92" s="137">
        <v>46097</v>
      </c>
      <c r="C92" s="132">
        <v>23408.8</v>
      </c>
      <c r="D92" s="135">
        <f t="shared" si="1"/>
        <v>0.007362615768429</v>
      </c>
    </row>
    <row r="93" ht="14.25" customHeight="1" spans="2:4">
      <c r="B93" s="137">
        <v>46094</v>
      </c>
      <c r="C93" s="132">
        <v>23151.1</v>
      </c>
      <c r="D93" s="135">
        <f t="shared" si="1"/>
        <v>0.011131220546756</v>
      </c>
    </row>
    <row r="94" ht="14.25" customHeight="1" spans="2:4">
      <c r="B94" s="137">
        <v>46093</v>
      </c>
      <c r="C94" s="132">
        <v>23639.15</v>
      </c>
      <c r="D94" s="135">
        <f t="shared" si="1"/>
        <v>-0.0206458354044035</v>
      </c>
    </row>
    <row r="95" ht="14.25" customHeight="1" spans="2:4">
      <c r="B95" s="137">
        <v>46092</v>
      </c>
      <c r="C95" s="132">
        <v>23866.85</v>
      </c>
      <c r="D95" s="135">
        <f t="shared" si="1"/>
        <v>-0.00954042950787382</v>
      </c>
    </row>
    <row r="96" ht="14.25" customHeight="1" spans="2:4">
      <c r="B96" s="137">
        <v>46091</v>
      </c>
      <c r="C96" s="132">
        <v>24261.6</v>
      </c>
      <c r="D96" s="135">
        <f t="shared" si="1"/>
        <v>-0.0162705674811224</v>
      </c>
    </row>
    <row r="97" ht="14.25" customHeight="1" spans="2:4">
      <c r="B97" s="137">
        <v>46090</v>
      </c>
      <c r="C97" s="132">
        <v>24028.05</v>
      </c>
      <c r="D97" s="135">
        <f t="shared" si="1"/>
        <v>0.00971988987870431</v>
      </c>
    </row>
    <row r="98" ht="14.25" customHeight="1" spans="2:4">
      <c r="B98" s="137">
        <v>46087</v>
      </c>
      <c r="C98" s="132">
        <v>24450.45</v>
      </c>
      <c r="D98" s="135">
        <f t="shared" si="1"/>
        <v>-0.0172757556609389</v>
      </c>
    </row>
    <row r="99" ht="14.25" customHeight="1" spans="2:4">
      <c r="B99" s="137">
        <v>46086</v>
      </c>
      <c r="C99" s="132">
        <v>24765.9</v>
      </c>
      <c r="D99" s="135">
        <f t="shared" si="1"/>
        <v>-0.0127372718132593</v>
      </c>
    </row>
    <row r="100" ht="14.25" customHeight="1" spans="2:4">
      <c r="B100" s="137">
        <v>46085</v>
      </c>
      <c r="C100" s="132">
        <v>24480.5</v>
      </c>
      <c r="D100" s="135">
        <f t="shared" si="1"/>
        <v>0.0116582586139991</v>
      </c>
    </row>
    <row r="101" ht="14.25" customHeight="1" spans="2:4">
      <c r="B101" s="137">
        <v>46083</v>
      </c>
      <c r="C101" s="132">
        <v>24865.7</v>
      </c>
      <c r="D101" s="135">
        <f t="shared" si="1"/>
        <v>-0.0154912188275416</v>
      </c>
    </row>
    <row r="102" ht="14.25" customHeight="1" spans="2:4">
      <c r="B102" s="137">
        <v>46080</v>
      </c>
      <c r="C102" s="132">
        <v>25178.65</v>
      </c>
      <c r="D102" s="135">
        <f t="shared" si="1"/>
        <v>-0.0124291810720591</v>
      </c>
    </row>
    <row r="103" ht="14.25" customHeight="1" spans="2:4">
      <c r="B103" s="137">
        <v>46079</v>
      </c>
      <c r="C103" s="132">
        <v>25496.55</v>
      </c>
      <c r="D103" s="135">
        <f t="shared" si="1"/>
        <v>-0.0124683535615602</v>
      </c>
    </row>
    <row r="104" ht="14.25" customHeight="1" spans="2:4">
      <c r="B104" s="137">
        <v>46078</v>
      </c>
      <c r="C104" s="132">
        <v>25482.5</v>
      </c>
      <c r="D104" s="135">
        <f t="shared" si="1"/>
        <v>0.000551358775630284</v>
      </c>
    </row>
    <row r="105" ht="14.25" customHeight="1" spans="2:4">
      <c r="B105" s="137">
        <v>46077</v>
      </c>
      <c r="C105" s="132">
        <v>25424.65</v>
      </c>
      <c r="D105" s="135">
        <f t="shared" si="1"/>
        <v>0.00227535088978614</v>
      </c>
    </row>
    <row r="106" ht="14.25" customHeight="1" spans="2:4">
      <c r="B106" s="137">
        <v>46076</v>
      </c>
      <c r="C106" s="132">
        <v>25713</v>
      </c>
      <c r="D106" s="135">
        <f t="shared" si="1"/>
        <v>-0.0112141718197021</v>
      </c>
    </row>
    <row r="107" ht="14.25" customHeight="1" spans="2:4">
      <c r="B107" s="137">
        <v>46073</v>
      </c>
      <c r="C107" s="132">
        <v>25571.25</v>
      </c>
      <c r="D107" s="135">
        <f t="shared" si="1"/>
        <v>0.00554333479982394</v>
      </c>
    </row>
    <row r="108" ht="14.25" customHeight="1" spans="2:4">
      <c r="B108" s="137">
        <v>46072</v>
      </c>
      <c r="C108" s="132">
        <v>25454.35</v>
      </c>
      <c r="D108" s="135">
        <f t="shared" si="1"/>
        <v>0.00459253526411008</v>
      </c>
    </row>
    <row r="109" ht="14.25" customHeight="1" spans="2:4">
      <c r="B109" s="137">
        <v>46071</v>
      </c>
      <c r="C109" s="132">
        <v>25819.35</v>
      </c>
      <c r="D109" s="135">
        <f t="shared" si="1"/>
        <v>-0.014136684308474</v>
      </c>
    </row>
    <row r="110" ht="14.25" customHeight="1" spans="2:4">
      <c r="B110" s="137">
        <v>46070</v>
      </c>
      <c r="C110" s="132">
        <v>25725.4</v>
      </c>
      <c r="D110" s="135">
        <f t="shared" si="1"/>
        <v>0.00365203262145575</v>
      </c>
    </row>
    <row r="111" ht="14.25" customHeight="1" spans="2:4">
      <c r="B111" s="137">
        <v>46069</v>
      </c>
      <c r="C111" s="132">
        <v>25682.75</v>
      </c>
      <c r="D111" s="135">
        <f t="shared" si="1"/>
        <v>0.00166064771101238</v>
      </c>
    </row>
    <row r="112" ht="14.25" customHeight="1" spans="2:4">
      <c r="B112" s="137">
        <v>46066</v>
      </c>
      <c r="C112" s="132">
        <v>25471.1</v>
      </c>
      <c r="D112" s="135">
        <f t="shared" si="1"/>
        <v>0.00830941733965163</v>
      </c>
    </row>
    <row r="113" ht="14.25" customHeight="1" spans="2:4">
      <c r="B113" s="137">
        <v>46065</v>
      </c>
      <c r="C113" s="132">
        <v>25807.2</v>
      </c>
      <c r="D113" s="135">
        <f t="shared" si="1"/>
        <v>-0.0130234973185779</v>
      </c>
    </row>
    <row r="114" ht="14.25" customHeight="1" spans="2:4">
      <c r="B114" s="137">
        <v>46064</v>
      </c>
      <c r="C114" s="132">
        <v>25953.85</v>
      </c>
      <c r="D114" s="135">
        <f t="shared" si="1"/>
        <v>-0.00565041410041278</v>
      </c>
    </row>
    <row r="115" ht="14.25" customHeight="1" spans="2:4">
      <c r="B115" s="137">
        <v>46063</v>
      </c>
      <c r="C115" s="132">
        <v>25935.15</v>
      </c>
      <c r="D115" s="135">
        <f t="shared" si="1"/>
        <v>0.00072102918240291</v>
      </c>
    </row>
    <row r="116" ht="14.25" customHeight="1" spans="2:4">
      <c r="B116" s="137">
        <v>46062</v>
      </c>
      <c r="C116" s="132">
        <v>25867.3</v>
      </c>
      <c r="D116" s="135">
        <f t="shared" si="1"/>
        <v>0.00262300278730287</v>
      </c>
    </row>
    <row r="117" ht="14.25" customHeight="1" spans="2:4">
      <c r="B117" s="137">
        <v>46059</v>
      </c>
      <c r="C117" s="132">
        <v>25693.7</v>
      </c>
      <c r="D117" s="135">
        <f t="shared" si="1"/>
        <v>0.00675652008079797</v>
      </c>
    </row>
    <row r="118" ht="14.25" customHeight="1" spans="2:4">
      <c r="B118" s="137">
        <v>46058</v>
      </c>
      <c r="C118" s="132">
        <v>25642.8</v>
      </c>
      <c r="D118" s="135">
        <f t="shared" si="1"/>
        <v>0.00198496264058523</v>
      </c>
    </row>
    <row r="119" ht="14.25" customHeight="1" spans="2:4">
      <c r="B119" s="137">
        <v>46057</v>
      </c>
      <c r="C119" s="132">
        <v>25776</v>
      </c>
      <c r="D119" s="135">
        <f t="shared" si="1"/>
        <v>-0.00516759776536313</v>
      </c>
    </row>
    <row r="120" ht="14.25" customHeight="1" spans="2:4">
      <c r="B120" s="137">
        <v>46056</v>
      </c>
      <c r="C120" s="132">
        <v>25727.55</v>
      </c>
      <c r="D120" s="135">
        <f t="shared" si="1"/>
        <v>0.0018831952517826</v>
      </c>
    </row>
    <row r="121" ht="14.25" customHeight="1" spans="2:4">
      <c r="B121" s="137">
        <v>46055</v>
      </c>
      <c r="C121" s="132">
        <v>25088.4</v>
      </c>
      <c r="D121" s="135">
        <f t="shared" si="1"/>
        <v>0.025475917156933</v>
      </c>
    </row>
    <row r="122" ht="14.25" customHeight="1" spans="2:4">
      <c r="B122" s="137">
        <v>46054</v>
      </c>
      <c r="C122" s="132">
        <v>24825.45</v>
      </c>
      <c r="D122" s="135">
        <f t="shared" si="1"/>
        <v>0.0105919530159575</v>
      </c>
    </row>
    <row r="123" ht="14.25" customHeight="1" spans="2:4">
      <c r="B123" s="137">
        <v>46052</v>
      </c>
      <c r="C123" s="132">
        <v>25320.65</v>
      </c>
      <c r="D123" s="135">
        <f t="shared" si="1"/>
        <v>-0.0195571598675389</v>
      </c>
    </row>
    <row r="124" ht="14.25" customHeight="1" spans="2:4">
      <c r="B124" s="137">
        <v>46051</v>
      </c>
      <c r="C124" s="132">
        <v>25418.9</v>
      </c>
      <c r="D124" s="135">
        <f t="shared" si="1"/>
        <v>-0.00386523413680373</v>
      </c>
    </row>
    <row r="125" ht="14.25" customHeight="1" spans="2:4">
      <c r="B125" s="137">
        <v>46050</v>
      </c>
      <c r="C125" s="132">
        <v>25342.75</v>
      </c>
      <c r="D125" s="135">
        <f t="shared" si="1"/>
        <v>0.00300480413530502</v>
      </c>
    </row>
    <row r="126" ht="14.25" customHeight="1" spans="2:4">
      <c r="B126" s="137">
        <v>46049</v>
      </c>
      <c r="C126" s="132">
        <v>25175.4</v>
      </c>
      <c r="D126" s="135">
        <f t="shared" si="1"/>
        <v>0.00664736210745409</v>
      </c>
    </row>
    <row r="127" ht="14.25" customHeight="1" spans="2:4">
      <c r="B127" s="137">
        <v>46045</v>
      </c>
      <c r="C127" s="132">
        <v>25048.65</v>
      </c>
      <c r="D127" s="135">
        <f t="shared" si="1"/>
        <v>0.00506015294237416</v>
      </c>
    </row>
    <row r="128" ht="14.25" customHeight="1" spans="2:4">
      <c r="B128" s="137">
        <v>46044</v>
      </c>
      <c r="C128" s="132">
        <v>25289.9</v>
      </c>
      <c r="D128" s="135">
        <f t="shared" si="1"/>
        <v>-0.0095393813340503</v>
      </c>
    </row>
    <row r="129" ht="14.25" customHeight="1" spans="2:4">
      <c r="B129" s="137">
        <v>46043</v>
      </c>
      <c r="C129" s="132">
        <v>25157.5</v>
      </c>
      <c r="D129" s="135">
        <f t="shared" si="1"/>
        <v>0.00526284408228173</v>
      </c>
    </row>
    <row r="130" ht="14.25" customHeight="1" spans="2:4">
      <c r="B130" s="137">
        <v>46042</v>
      </c>
      <c r="C130" s="132">
        <v>25232.5</v>
      </c>
      <c r="D130" s="135">
        <f t="shared" si="1"/>
        <v>-0.00297235707916377</v>
      </c>
    </row>
    <row r="131" ht="14.25" customHeight="1" spans="2:4">
      <c r="B131" s="137">
        <v>46041</v>
      </c>
      <c r="C131" s="132">
        <v>25585.5</v>
      </c>
      <c r="D131" s="135">
        <f t="shared" si="1"/>
        <v>-0.0137968771374412</v>
      </c>
    </row>
    <row r="132" ht="14.25" customHeight="1" spans="2:4">
      <c r="B132" s="137">
        <v>46038</v>
      </c>
      <c r="C132" s="132">
        <v>25694.35</v>
      </c>
      <c r="D132" s="135">
        <f t="shared" si="1"/>
        <v>-0.0042363398957358</v>
      </c>
    </row>
    <row r="133" ht="14.25" customHeight="1" spans="2:4">
      <c r="B133" s="137">
        <v>46036</v>
      </c>
      <c r="C133" s="132">
        <v>25665.6</v>
      </c>
      <c r="D133" s="135">
        <f t="shared" si="1"/>
        <v>0.00112017642291629</v>
      </c>
    </row>
    <row r="134" ht="14.25" customHeight="1" spans="2:4">
      <c r="B134" s="137">
        <v>46035</v>
      </c>
      <c r="C134" s="132">
        <v>25732.3</v>
      </c>
      <c r="D134" s="135">
        <f t="shared" si="1"/>
        <v>-0.00259207299774988</v>
      </c>
    </row>
    <row r="135" ht="14.25" customHeight="1" spans="2:4">
      <c r="B135" s="137">
        <v>46034</v>
      </c>
      <c r="C135" s="132">
        <v>25790.25</v>
      </c>
      <c r="D135" s="135">
        <f t="shared" si="1"/>
        <v>-0.00224697317784828</v>
      </c>
    </row>
    <row r="136" ht="14.25" customHeight="1" spans="2:4">
      <c r="B136" s="137">
        <v>46031</v>
      </c>
      <c r="C136" s="132">
        <v>25683.3</v>
      </c>
      <c r="D136" s="135">
        <f t="shared" si="1"/>
        <v>0.00416418450900014</v>
      </c>
    </row>
    <row r="137" ht="14.25" customHeight="1" spans="2:4">
      <c r="B137" s="137">
        <v>46030</v>
      </c>
      <c r="C137" s="132">
        <v>25876.85</v>
      </c>
      <c r="D137" s="135">
        <f t="shared" ref="D137:D200" si="2">C136/C137-1</f>
        <v>-0.00747965845920195</v>
      </c>
    </row>
    <row r="138" ht="14.25" customHeight="1" spans="2:4">
      <c r="B138" s="137">
        <v>46029</v>
      </c>
      <c r="C138" s="132">
        <v>26140.75</v>
      </c>
      <c r="D138" s="135">
        <f t="shared" si="2"/>
        <v>-0.0100953492153056</v>
      </c>
    </row>
    <row r="139" ht="14.25" customHeight="1" spans="2:4">
      <c r="B139" s="137">
        <v>46028</v>
      </c>
      <c r="C139" s="132">
        <v>26178.7</v>
      </c>
      <c r="D139" s="135">
        <f t="shared" si="2"/>
        <v>-0.00144965181617118</v>
      </c>
    </row>
    <row r="140" ht="14.25" customHeight="1" spans="2:4">
      <c r="B140" s="137">
        <v>46027</v>
      </c>
      <c r="C140" s="132">
        <v>26250.3</v>
      </c>
      <c r="D140" s="135">
        <f t="shared" si="2"/>
        <v>-0.00272758787518612</v>
      </c>
    </row>
    <row r="141" ht="14.25" customHeight="1" spans="2:4">
      <c r="B141" s="137">
        <v>46024</v>
      </c>
      <c r="C141" s="132">
        <v>26328.55</v>
      </c>
      <c r="D141" s="135">
        <f t="shared" si="2"/>
        <v>-0.00297205884866425</v>
      </c>
    </row>
    <row r="142" ht="14.25" customHeight="1" spans="2:4">
      <c r="B142" s="137">
        <v>46023</v>
      </c>
      <c r="C142" s="132">
        <v>26146.55</v>
      </c>
      <c r="D142" s="135">
        <f t="shared" si="2"/>
        <v>0.00696076537822399</v>
      </c>
    </row>
    <row r="143" ht="14.25" customHeight="1" spans="2:4">
      <c r="B143" s="137">
        <v>46022</v>
      </c>
      <c r="C143" s="132">
        <v>26129.6</v>
      </c>
      <c r="D143" s="135">
        <f t="shared" si="2"/>
        <v>0.000648689608719666</v>
      </c>
    </row>
    <row r="144" ht="14.25" customHeight="1" spans="2:4">
      <c r="B144" s="137">
        <v>46021</v>
      </c>
      <c r="C144" s="132">
        <v>25938.85</v>
      </c>
      <c r="D144" s="135">
        <f t="shared" si="2"/>
        <v>0.00735383411369428</v>
      </c>
    </row>
    <row r="145" ht="14.25" customHeight="1" spans="2:4">
      <c r="B145" s="137">
        <v>46020</v>
      </c>
      <c r="C145" s="132">
        <v>25942.1</v>
      </c>
      <c r="D145" s="135">
        <f t="shared" si="2"/>
        <v>-0.000125278986666477</v>
      </c>
    </row>
    <row r="146" ht="14.25" customHeight="1" spans="2:4">
      <c r="B146" s="137">
        <v>46017</v>
      </c>
      <c r="C146" s="132">
        <v>26042.3</v>
      </c>
      <c r="D146" s="135">
        <f t="shared" si="2"/>
        <v>-0.00384758642669814</v>
      </c>
    </row>
    <row r="147" ht="14.25" customHeight="1" spans="2:4">
      <c r="B147" s="137">
        <v>46015</v>
      </c>
      <c r="C147" s="132">
        <v>26142.1</v>
      </c>
      <c r="D147" s="135">
        <f t="shared" si="2"/>
        <v>-0.0038175969030797</v>
      </c>
    </row>
    <row r="148" ht="14.25" customHeight="1" spans="2:4">
      <c r="B148" s="137">
        <v>46014</v>
      </c>
      <c r="C148" s="132">
        <v>26177.15</v>
      </c>
      <c r="D148" s="135">
        <f t="shared" si="2"/>
        <v>-0.00133895401141848</v>
      </c>
    </row>
    <row r="149" ht="14.25" customHeight="1" spans="2:4">
      <c r="B149" s="137">
        <v>46013</v>
      </c>
      <c r="C149" s="132">
        <v>26172.4</v>
      </c>
      <c r="D149" s="135">
        <f t="shared" si="2"/>
        <v>0.000181488896700444</v>
      </c>
    </row>
    <row r="150" ht="14.25" customHeight="1" spans="2:4">
      <c r="B150" s="137">
        <v>46010</v>
      </c>
      <c r="C150" s="132">
        <v>25966.4</v>
      </c>
      <c r="D150" s="135">
        <f t="shared" si="2"/>
        <v>0.00793332922546064</v>
      </c>
    </row>
    <row r="151" ht="14.25" customHeight="1" spans="2:4">
      <c r="B151" s="137">
        <v>46009</v>
      </c>
      <c r="C151" s="132">
        <v>25815.55</v>
      </c>
      <c r="D151" s="135">
        <f t="shared" si="2"/>
        <v>0.0058433773442752</v>
      </c>
    </row>
    <row r="152" ht="14.25" customHeight="1" spans="2:4">
      <c r="B152" s="137">
        <v>46008</v>
      </c>
      <c r="C152" s="132">
        <v>25818.55</v>
      </c>
      <c r="D152" s="135">
        <f t="shared" si="2"/>
        <v>-0.000116195526084883</v>
      </c>
    </row>
    <row r="153" ht="14.25" customHeight="1" spans="2:4">
      <c r="B153" s="137">
        <v>46007</v>
      </c>
      <c r="C153" s="132">
        <v>25860.1</v>
      </c>
      <c r="D153" s="135">
        <f t="shared" si="2"/>
        <v>-0.00160672232512638</v>
      </c>
    </row>
    <row r="154" ht="14.25" customHeight="1" spans="2:4">
      <c r="B154" s="137">
        <v>46006</v>
      </c>
      <c r="C154" s="132">
        <v>26027.3</v>
      </c>
      <c r="D154" s="135">
        <f t="shared" si="2"/>
        <v>-0.00642402400556341</v>
      </c>
    </row>
    <row r="155" ht="14.25" customHeight="1" spans="2:4">
      <c r="B155" s="137">
        <v>46003</v>
      </c>
      <c r="C155" s="132">
        <v>26046.95</v>
      </c>
      <c r="D155" s="135">
        <f t="shared" si="2"/>
        <v>-0.000754406945918884</v>
      </c>
    </row>
    <row r="156" ht="14.25" customHeight="1" spans="2:4">
      <c r="B156" s="137">
        <v>46002</v>
      </c>
      <c r="C156" s="132">
        <v>25898.55</v>
      </c>
      <c r="D156" s="135">
        <f t="shared" si="2"/>
        <v>0.00573005052406406</v>
      </c>
    </row>
    <row r="157" ht="14.25" customHeight="1" spans="2:4">
      <c r="B157" s="137">
        <v>46001</v>
      </c>
      <c r="C157" s="132">
        <v>25758</v>
      </c>
      <c r="D157" s="135">
        <f t="shared" si="2"/>
        <v>0.00545655718611693</v>
      </c>
    </row>
    <row r="158" ht="14.25" customHeight="1" spans="2:4">
      <c r="B158" s="137">
        <v>46000</v>
      </c>
      <c r="C158" s="132">
        <v>25839.65</v>
      </c>
      <c r="D158" s="135">
        <f t="shared" si="2"/>
        <v>-0.00315987252149319</v>
      </c>
    </row>
    <row r="159" ht="14.25" customHeight="1" spans="2:4">
      <c r="B159" s="137">
        <v>45999</v>
      </c>
      <c r="C159" s="132">
        <v>25960.55</v>
      </c>
      <c r="D159" s="135">
        <f t="shared" si="2"/>
        <v>-0.00465706620237238</v>
      </c>
    </row>
    <row r="160" ht="14.25" customHeight="1" spans="2:4">
      <c r="B160" s="137">
        <v>45996</v>
      </c>
      <c r="C160" s="132">
        <v>26186.45</v>
      </c>
      <c r="D160" s="135">
        <f t="shared" si="2"/>
        <v>-0.00862659887079009</v>
      </c>
    </row>
    <row r="161" ht="14.25" customHeight="1" spans="2:4">
      <c r="B161" s="137">
        <v>45995</v>
      </c>
      <c r="C161" s="132">
        <v>26033.75</v>
      </c>
      <c r="D161" s="135">
        <f t="shared" si="2"/>
        <v>0.00586546310078262</v>
      </c>
    </row>
    <row r="162" ht="14.25" customHeight="1" spans="2:4">
      <c r="B162" s="137">
        <v>45994</v>
      </c>
      <c r="C162" s="132">
        <v>25986</v>
      </c>
      <c r="D162" s="135">
        <f t="shared" si="2"/>
        <v>0.00183752789963831</v>
      </c>
    </row>
    <row r="163" ht="14.25" customHeight="1" spans="2:4">
      <c r="B163" s="137">
        <v>45993</v>
      </c>
      <c r="C163" s="132">
        <v>26032.2</v>
      </c>
      <c r="D163" s="135">
        <f t="shared" si="2"/>
        <v>-0.00177472514808585</v>
      </c>
    </row>
    <row r="164" ht="14.25" customHeight="1" spans="2:4">
      <c r="B164" s="137">
        <v>45992</v>
      </c>
      <c r="C164" s="132">
        <v>26175.75</v>
      </c>
      <c r="D164" s="135">
        <f t="shared" si="2"/>
        <v>-0.00548408355061458</v>
      </c>
    </row>
    <row r="165" ht="14.25" customHeight="1" spans="2:4">
      <c r="B165" s="137">
        <v>45989</v>
      </c>
      <c r="C165" s="132">
        <v>26202.95</v>
      </c>
      <c r="D165" s="135">
        <f t="shared" si="2"/>
        <v>-0.00103805105913646</v>
      </c>
    </row>
    <row r="166" ht="14.25" customHeight="1" spans="2:4">
      <c r="B166" s="137">
        <v>45988</v>
      </c>
      <c r="C166" s="132">
        <v>26215.55</v>
      </c>
      <c r="D166" s="135">
        <f t="shared" si="2"/>
        <v>-0.000480630770668511</v>
      </c>
    </row>
    <row r="167" ht="14.25" customHeight="1" spans="2:4">
      <c r="B167" s="137">
        <v>45987</v>
      </c>
      <c r="C167" s="132">
        <v>26205.3</v>
      </c>
      <c r="D167" s="135">
        <f t="shared" si="2"/>
        <v>0.000391142249850152</v>
      </c>
    </row>
    <row r="168" ht="14.25" customHeight="1" spans="2:4">
      <c r="B168" s="137">
        <v>45986</v>
      </c>
      <c r="C168" s="132">
        <v>25884.8</v>
      </c>
      <c r="D168" s="135">
        <f t="shared" si="2"/>
        <v>0.0123817839040672</v>
      </c>
    </row>
    <row r="169" ht="14.25" customHeight="1" spans="2:4">
      <c r="B169" s="137">
        <v>45985</v>
      </c>
      <c r="C169" s="132">
        <v>25959.5</v>
      </c>
      <c r="D169" s="135">
        <f t="shared" si="2"/>
        <v>-0.00287755927502453</v>
      </c>
    </row>
    <row r="170" ht="14.25" customHeight="1" spans="2:4">
      <c r="B170" s="137">
        <v>45982</v>
      </c>
      <c r="C170" s="132">
        <v>26068.15</v>
      </c>
      <c r="D170" s="135">
        <f t="shared" si="2"/>
        <v>-0.00416792139066258</v>
      </c>
    </row>
    <row r="171" ht="14.25" customHeight="1" spans="2:4">
      <c r="B171" s="137">
        <v>45981</v>
      </c>
      <c r="C171" s="132">
        <v>26192.15</v>
      </c>
      <c r="D171" s="135">
        <f t="shared" si="2"/>
        <v>-0.00473424289338598</v>
      </c>
    </row>
    <row r="172" ht="14.25" customHeight="1" spans="2:4">
      <c r="B172" s="137">
        <v>45980</v>
      </c>
      <c r="C172" s="132">
        <v>26052.65</v>
      </c>
      <c r="D172" s="135">
        <f t="shared" si="2"/>
        <v>0.00535454166850591</v>
      </c>
    </row>
    <row r="173" ht="14.25" customHeight="1" spans="2:4">
      <c r="B173" s="137">
        <v>45979</v>
      </c>
      <c r="C173" s="132">
        <v>25910.05</v>
      </c>
      <c r="D173" s="135">
        <f t="shared" si="2"/>
        <v>0.00550365591729851</v>
      </c>
    </row>
    <row r="174" ht="14.25" customHeight="1" spans="2:4">
      <c r="B174" s="137">
        <v>45978</v>
      </c>
      <c r="C174" s="132">
        <v>26013.45</v>
      </c>
      <c r="D174" s="135">
        <f t="shared" si="2"/>
        <v>-0.00397486684772685</v>
      </c>
    </row>
    <row r="175" ht="14.25" customHeight="1" spans="2:4">
      <c r="B175" s="137">
        <v>45975</v>
      </c>
      <c r="C175" s="132">
        <v>25910.05</v>
      </c>
      <c r="D175" s="135">
        <f t="shared" si="2"/>
        <v>0.00399072946597956</v>
      </c>
    </row>
    <row r="176" ht="14.25" customHeight="1" spans="2:4">
      <c r="B176" s="137">
        <v>45974</v>
      </c>
      <c r="C176" s="132">
        <v>25879.15</v>
      </c>
      <c r="D176" s="135">
        <f t="shared" si="2"/>
        <v>0.00119401139527375</v>
      </c>
    </row>
    <row r="177" ht="14.25" customHeight="1" spans="2:4">
      <c r="B177" s="137">
        <v>45973</v>
      </c>
      <c r="C177" s="132">
        <v>25875.8</v>
      </c>
      <c r="D177" s="135">
        <f t="shared" si="2"/>
        <v>0.000129464596263729</v>
      </c>
    </row>
    <row r="178" ht="14.25" customHeight="1" spans="2:4">
      <c r="B178" s="137">
        <v>45972</v>
      </c>
      <c r="C178" s="132">
        <v>25694.95</v>
      </c>
      <c r="D178" s="135">
        <f t="shared" si="2"/>
        <v>0.0070383480022338</v>
      </c>
    </row>
    <row r="179" ht="14.25" customHeight="1" spans="2:4">
      <c r="B179" s="137">
        <v>45971</v>
      </c>
      <c r="C179" s="132">
        <v>25574.35</v>
      </c>
      <c r="D179" s="135">
        <f t="shared" si="2"/>
        <v>0.00471566237265075</v>
      </c>
    </row>
    <row r="180" ht="14.25" customHeight="1" spans="2:4">
      <c r="B180" s="137">
        <v>45968</v>
      </c>
      <c r="C180" s="132">
        <v>25492.3</v>
      </c>
      <c r="D180" s="135">
        <f t="shared" si="2"/>
        <v>0.00321861895552766</v>
      </c>
    </row>
    <row r="181" ht="14.25" customHeight="1" spans="2:4">
      <c r="B181" s="137">
        <v>45967</v>
      </c>
      <c r="C181" s="132">
        <v>25509.7</v>
      </c>
      <c r="D181" s="135">
        <f t="shared" si="2"/>
        <v>-0.000682093478167167</v>
      </c>
    </row>
    <row r="182" ht="14.25" customHeight="1" spans="2:4">
      <c r="B182" s="137">
        <v>45965</v>
      </c>
      <c r="C182" s="132">
        <v>25597.65</v>
      </c>
      <c r="D182" s="135">
        <f t="shared" si="2"/>
        <v>-0.0034358622764199</v>
      </c>
    </row>
    <row r="183" ht="14.25" customHeight="1" spans="2:4">
      <c r="B183" s="137">
        <v>45964</v>
      </c>
      <c r="C183" s="132">
        <v>25763.35</v>
      </c>
      <c r="D183" s="135">
        <f t="shared" si="2"/>
        <v>-0.00643161700632866</v>
      </c>
    </row>
    <row r="184" ht="14.25" customHeight="1" spans="2:4">
      <c r="B184" s="137">
        <v>45961</v>
      </c>
      <c r="C184" s="132">
        <v>25722.1</v>
      </c>
      <c r="D184" s="135">
        <f t="shared" si="2"/>
        <v>0.00160367932633809</v>
      </c>
    </row>
    <row r="185" ht="14.25" customHeight="1" spans="2:4">
      <c r="B185" s="137">
        <v>45960</v>
      </c>
      <c r="C185" s="132">
        <v>25877.85</v>
      </c>
      <c r="D185" s="135">
        <f t="shared" si="2"/>
        <v>-0.00601866074654578</v>
      </c>
    </row>
    <row r="186" ht="14.25" customHeight="1" spans="2:4">
      <c r="B186" s="137">
        <v>45959</v>
      </c>
      <c r="C186" s="132">
        <v>26053.9</v>
      </c>
      <c r="D186" s="135">
        <f t="shared" si="2"/>
        <v>-0.00675714576320641</v>
      </c>
    </row>
    <row r="187" ht="14.25" customHeight="1" spans="2:4">
      <c r="B187" s="137">
        <v>45958</v>
      </c>
      <c r="C187" s="132">
        <v>25936.2</v>
      </c>
      <c r="D187" s="135">
        <f t="shared" si="2"/>
        <v>0.00453805877499414</v>
      </c>
    </row>
    <row r="188" ht="14.25" customHeight="1" spans="2:4">
      <c r="B188" s="137">
        <v>45957</v>
      </c>
      <c r="C188" s="132">
        <v>25966.05</v>
      </c>
      <c r="D188" s="135">
        <f t="shared" si="2"/>
        <v>-0.00114957800666637</v>
      </c>
    </row>
    <row r="189" ht="14.25" customHeight="1" spans="2:4">
      <c r="B189" s="137">
        <v>45954</v>
      </c>
      <c r="C189" s="132">
        <v>25795.15</v>
      </c>
      <c r="D189" s="135">
        <f t="shared" si="2"/>
        <v>0.00662527645700828</v>
      </c>
    </row>
    <row r="190" ht="14.25" customHeight="1" spans="2:4">
      <c r="B190" s="137">
        <v>45953</v>
      </c>
      <c r="C190" s="132">
        <v>25891.4</v>
      </c>
      <c r="D190" s="135">
        <f t="shared" si="2"/>
        <v>-0.00371745058204653</v>
      </c>
    </row>
    <row r="191" ht="14.25" customHeight="1" spans="2:4">
      <c r="B191" s="137">
        <v>45951</v>
      </c>
      <c r="C191" s="132">
        <v>25868.6</v>
      </c>
      <c r="D191" s="135">
        <f t="shared" si="2"/>
        <v>0.000881377422821572</v>
      </c>
    </row>
    <row r="192" ht="14.25" customHeight="1" spans="2:4">
      <c r="B192" s="137">
        <v>45950</v>
      </c>
      <c r="C192" s="132">
        <v>25843.15</v>
      </c>
      <c r="D192" s="135">
        <f t="shared" si="2"/>
        <v>0.000984787071235393</v>
      </c>
    </row>
    <row r="193" ht="14.25" customHeight="1" spans="2:4">
      <c r="B193" s="137">
        <v>45947</v>
      </c>
      <c r="C193" s="132">
        <v>25709.85</v>
      </c>
      <c r="D193" s="135">
        <f t="shared" si="2"/>
        <v>0.00518478326400196</v>
      </c>
    </row>
    <row r="194" ht="14.25" customHeight="1" spans="2:4">
      <c r="B194" s="137">
        <v>45946</v>
      </c>
      <c r="C194" s="132">
        <v>25585.3</v>
      </c>
      <c r="D194" s="135">
        <f t="shared" si="2"/>
        <v>0.00486802968892297</v>
      </c>
    </row>
    <row r="195" ht="14.25" customHeight="1" spans="2:4">
      <c r="B195" s="137">
        <v>45945</v>
      </c>
      <c r="C195" s="132">
        <v>25323.55</v>
      </c>
      <c r="D195" s="135">
        <f t="shared" si="2"/>
        <v>0.0103362285303601</v>
      </c>
    </row>
    <row r="196" ht="14.25" customHeight="1" spans="2:4">
      <c r="B196" s="137">
        <v>45944</v>
      </c>
      <c r="C196" s="132">
        <v>25145.5</v>
      </c>
      <c r="D196" s="135">
        <f t="shared" si="2"/>
        <v>0.00708078980334448</v>
      </c>
    </row>
    <row r="197" ht="14.25" customHeight="1" spans="2:4">
      <c r="B197" s="137">
        <v>45943</v>
      </c>
      <c r="C197" s="132">
        <v>25227.35</v>
      </c>
      <c r="D197" s="135">
        <f t="shared" si="2"/>
        <v>-0.00324449456641296</v>
      </c>
    </row>
    <row r="198" ht="14.25" customHeight="1" spans="2:4">
      <c r="B198" s="137">
        <v>45940</v>
      </c>
      <c r="C198" s="132">
        <v>25285.35</v>
      </c>
      <c r="D198" s="135">
        <f t="shared" si="2"/>
        <v>-0.00229381835727016</v>
      </c>
    </row>
    <row r="199" ht="14.25" customHeight="1" spans="2:4">
      <c r="B199" s="137">
        <v>45939</v>
      </c>
      <c r="C199" s="132">
        <v>25181.8</v>
      </c>
      <c r="D199" s="135">
        <f t="shared" si="2"/>
        <v>0.00411209683183889</v>
      </c>
    </row>
    <row r="200" ht="14.25" customHeight="1" spans="2:4">
      <c r="B200" s="137">
        <v>45938</v>
      </c>
      <c r="C200" s="132">
        <v>25046.15</v>
      </c>
      <c r="D200" s="135">
        <f t="shared" si="2"/>
        <v>0.00541600206019677</v>
      </c>
    </row>
    <row r="201" ht="14.25" customHeight="1" spans="2:4">
      <c r="B201" s="137">
        <v>45937</v>
      </c>
      <c r="C201" s="132">
        <v>25108.3</v>
      </c>
      <c r="D201" s="135">
        <f t="shared" ref="D201:D264" si="3">C200/C201-1</f>
        <v>-0.00247527709960438</v>
      </c>
    </row>
    <row r="202" ht="14.25" customHeight="1" spans="2:4">
      <c r="B202" s="137">
        <v>45936</v>
      </c>
      <c r="C202" s="132">
        <v>25077.65</v>
      </c>
      <c r="D202" s="135">
        <f t="shared" si="3"/>
        <v>0.0012222038348888</v>
      </c>
    </row>
    <row r="203" ht="14.25" customHeight="1" spans="2:4">
      <c r="B203" s="137">
        <v>45933</v>
      </c>
      <c r="C203" s="132">
        <v>24894.25</v>
      </c>
      <c r="D203" s="135">
        <f t="shared" si="3"/>
        <v>0.00736716309991259</v>
      </c>
    </row>
    <row r="204" ht="14.25" customHeight="1" spans="2:4">
      <c r="B204" s="137">
        <v>45931</v>
      </c>
      <c r="C204" s="132">
        <v>24836.3</v>
      </c>
      <c r="D204" s="135">
        <f t="shared" si="3"/>
        <v>0.00233327830635011</v>
      </c>
    </row>
    <row r="205" ht="14.25" customHeight="1" spans="2:4">
      <c r="B205" s="137">
        <v>45930</v>
      </c>
      <c r="C205" s="132">
        <v>24611.1</v>
      </c>
      <c r="D205" s="135">
        <f t="shared" si="3"/>
        <v>0.00915034273153181</v>
      </c>
    </row>
    <row r="206" ht="14.25" customHeight="1" spans="2:4">
      <c r="B206" s="137">
        <v>45929</v>
      </c>
      <c r="C206" s="132">
        <v>24634.9</v>
      </c>
      <c r="D206" s="135">
        <f t="shared" si="3"/>
        <v>-0.000966109056663611</v>
      </c>
    </row>
    <row r="207" ht="14.25" customHeight="1" spans="2:4">
      <c r="B207" s="137">
        <v>45926</v>
      </c>
      <c r="C207" s="132">
        <v>24654.7</v>
      </c>
      <c r="D207" s="135">
        <f t="shared" si="3"/>
        <v>-0.000803092310999509</v>
      </c>
    </row>
    <row r="208" ht="14.25" customHeight="1" spans="2:4">
      <c r="B208" s="137">
        <v>45925</v>
      </c>
      <c r="C208" s="132">
        <v>24890.85</v>
      </c>
      <c r="D208" s="135">
        <f t="shared" si="3"/>
        <v>-0.00948742208482223</v>
      </c>
    </row>
    <row r="209" ht="14.25" customHeight="1" spans="2:4">
      <c r="B209" s="137">
        <v>45924</v>
      </c>
      <c r="C209" s="132">
        <v>25056.9</v>
      </c>
      <c r="D209" s="135">
        <f t="shared" si="3"/>
        <v>-0.00662691713659724</v>
      </c>
    </row>
    <row r="210" ht="14.25" customHeight="1" spans="2:4">
      <c r="B210" s="137">
        <v>45923</v>
      </c>
      <c r="C210" s="132">
        <v>25169.5</v>
      </c>
      <c r="D210" s="135">
        <f t="shared" si="3"/>
        <v>-0.00447366852738429</v>
      </c>
    </row>
    <row r="211" ht="14.25" customHeight="1" spans="2:4">
      <c r="B211" s="137">
        <v>45922</v>
      </c>
      <c r="C211" s="132">
        <v>25202.35</v>
      </c>
      <c r="D211" s="135">
        <f t="shared" si="3"/>
        <v>-0.00130344987669795</v>
      </c>
    </row>
    <row r="212" ht="14.25" customHeight="1" spans="2:4">
      <c r="B212" s="137">
        <v>45919</v>
      </c>
      <c r="C212" s="132">
        <v>25327.05</v>
      </c>
      <c r="D212" s="135">
        <f t="shared" si="3"/>
        <v>-0.00492358960084183</v>
      </c>
    </row>
    <row r="213" ht="14.25" customHeight="1" spans="2:4">
      <c r="B213" s="137">
        <v>45918</v>
      </c>
      <c r="C213" s="132">
        <v>25423.6</v>
      </c>
      <c r="D213" s="135">
        <f t="shared" si="3"/>
        <v>-0.00379765257477305</v>
      </c>
    </row>
    <row r="214" ht="14.25" customHeight="1" spans="2:4">
      <c r="B214" s="137">
        <v>45917</v>
      </c>
      <c r="C214" s="132">
        <v>25330.25</v>
      </c>
      <c r="D214" s="135">
        <f t="shared" si="3"/>
        <v>0.00368531696291985</v>
      </c>
    </row>
    <row r="215" ht="14.25" customHeight="1" spans="2:4">
      <c r="B215" s="137">
        <v>45916</v>
      </c>
      <c r="C215" s="132">
        <v>25239.1</v>
      </c>
      <c r="D215" s="135">
        <f t="shared" si="3"/>
        <v>0.00361145999659263</v>
      </c>
    </row>
    <row r="216" ht="14.25" customHeight="1" spans="2:4">
      <c r="B216" s="137">
        <v>45915</v>
      </c>
      <c r="C216" s="132">
        <v>25069.2</v>
      </c>
      <c r="D216" s="135">
        <f t="shared" si="3"/>
        <v>0.00677724059802465</v>
      </c>
    </row>
    <row r="217" ht="14.25" customHeight="1" spans="2:4">
      <c r="B217" s="137">
        <v>45912</v>
      </c>
      <c r="C217" s="132">
        <v>25114</v>
      </c>
      <c r="D217" s="135">
        <f t="shared" si="3"/>
        <v>-0.00178386557298715</v>
      </c>
    </row>
    <row r="218" ht="14.25" customHeight="1" spans="2:4">
      <c r="B218" s="137">
        <v>45911</v>
      </c>
      <c r="C218" s="132">
        <v>25005.5</v>
      </c>
      <c r="D218" s="135">
        <f t="shared" si="3"/>
        <v>0.00433904541000985</v>
      </c>
    </row>
    <row r="219" ht="14.25" customHeight="1" spans="2:4">
      <c r="B219" s="137">
        <v>45910</v>
      </c>
      <c r="C219" s="132">
        <v>24973.1</v>
      </c>
      <c r="D219" s="135">
        <f t="shared" si="3"/>
        <v>0.00129739599809398</v>
      </c>
    </row>
    <row r="220" ht="14.25" customHeight="1" spans="2:4">
      <c r="B220" s="137">
        <v>45909</v>
      </c>
      <c r="C220" s="132">
        <v>24868.6</v>
      </c>
      <c r="D220" s="135">
        <f t="shared" si="3"/>
        <v>0.0042020861648826</v>
      </c>
    </row>
    <row r="221" ht="14.25" customHeight="1" spans="2:4">
      <c r="B221" s="137">
        <v>45908</v>
      </c>
      <c r="C221" s="132">
        <v>24773.15</v>
      </c>
      <c r="D221" s="135">
        <f t="shared" si="3"/>
        <v>0.00385296177514749</v>
      </c>
    </row>
    <row r="222" ht="14.25" customHeight="1" spans="2:4">
      <c r="B222" s="137">
        <v>45905</v>
      </c>
      <c r="C222" s="132">
        <v>24741</v>
      </c>
      <c r="D222" s="135">
        <f t="shared" si="3"/>
        <v>0.00129946243078294</v>
      </c>
    </row>
    <row r="223" ht="14.25" customHeight="1" spans="2:4">
      <c r="B223" s="137">
        <v>45904</v>
      </c>
      <c r="C223" s="132">
        <v>24734.3</v>
      </c>
      <c r="D223" s="135">
        <f t="shared" si="3"/>
        <v>0.000270878900959337</v>
      </c>
    </row>
    <row r="224" ht="14.25" customHeight="1" spans="2:4">
      <c r="B224" s="137">
        <v>45903</v>
      </c>
      <c r="C224" s="132">
        <v>24715.05</v>
      </c>
      <c r="D224" s="135">
        <f t="shared" si="3"/>
        <v>0.000778877647425347</v>
      </c>
    </row>
    <row r="225" ht="14.25" customHeight="1" spans="2:4">
      <c r="B225" s="137">
        <v>45902</v>
      </c>
      <c r="C225" s="132">
        <v>24579.6</v>
      </c>
      <c r="D225" s="135">
        <f t="shared" si="3"/>
        <v>0.00551066738270767</v>
      </c>
    </row>
    <row r="226" ht="14.25" customHeight="1" spans="2:4">
      <c r="B226" s="137">
        <v>45901</v>
      </c>
      <c r="C226" s="132">
        <v>24625.05</v>
      </c>
      <c r="D226" s="135">
        <f t="shared" si="3"/>
        <v>-0.00184568153161113</v>
      </c>
    </row>
    <row r="227" ht="14.25" customHeight="1" spans="2:4">
      <c r="B227" s="137">
        <v>45898</v>
      </c>
      <c r="C227" s="132">
        <v>24426.85</v>
      </c>
      <c r="D227" s="135">
        <f t="shared" si="3"/>
        <v>0.00811402206997625</v>
      </c>
    </row>
    <row r="228" ht="14.25" customHeight="1" spans="2:4">
      <c r="B228" s="137">
        <v>45897</v>
      </c>
      <c r="C228" s="132">
        <v>24500.9</v>
      </c>
      <c r="D228" s="135">
        <f t="shared" si="3"/>
        <v>-0.00302233795493234</v>
      </c>
    </row>
    <row r="229" ht="14.25" customHeight="1" spans="2:4">
      <c r="B229" s="137">
        <v>45895</v>
      </c>
      <c r="C229" s="132">
        <v>24712.05</v>
      </c>
      <c r="D229" s="135">
        <f t="shared" si="3"/>
        <v>-0.00854441456698241</v>
      </c>
    </row>
    <row r="230" ht="14.25" customHeight="1" spans="2:4">
      <c r="B230" s="137">
        <v>45894</v>
      </c>
      <c r="C230" s="132">
        <v>24967.75</v>
      </c>
      <c r="D230" s="135">
        <f t="shared" si="3"/>
        <v>-0.0102412111623995</v>
      </c>
    </row>
    <row r="231" ht="14.25" customHeight="1" spans="2:4">
      <c r="B231" s="137">
        <v>45891</v>
      </c>
      <c r="C231" s="132">
        <v>24870.1</v>
      </c>
      <c r="D231" s="135">
        <f t="shared" si="3"/>
        <v>0.00392640158262347</v>
      </c>
    </row>
    <row r="232" ht="14.25" customHeight="1" spans="2:4">
      <c r="B232" s="137">
        <v>45890</v>
      </c>
      <c r="C232" s="132">
        <v>25083.75</v>
      </c>
      <c r="D232" s="135">
        <f t="shared" si="3"/>
        <v>-0.0085174664872677</v>
      </c>
    </row>
    <row r="233" ht="14.25" customHeight="1" spans="2:4">
      <c r="B233" s="137">
        <v>45889</v>
      </c>
      <c r="C233" s="132">
        <v>25050.55</v>
      </c>
      <c r="D233" s="135">
        <f t="shared" si="3"/>
        <v>0.0013253202025505</v>
      </c>
    </row>
    <row r="234" ht="14.25" customHeight="1" spans="2:4">
      <c r="B234" s="137">
        <v>45888</v>
      </c>
      <c r="C234" s="132">
        <v>24980.65</v>
      </c>
      <c r="D234" s="135">
        <f t="shared" si="3"/>
        <v>0.00279816578031378</v>
      </c>
    </row>
    <row r="235" ht="14.25" customHeight="1" spans="2:4">
      <c r="B235" s="137">
        <v>45887</v>
      </c>
      <c r="C235" s="132">
        <v>24876.95</v>
      </c>
      <c r="D235" s="135">
        <f t="shared" si="3"/>
        <v>0.00416851744285385</v>
      </c>
    </row>
    <row r="236" ht="14.25" customHeight="1" spans="2:4">
      <c r="B236" s="137">
        <v>45883</v>
      </c>
      <c r="C236" s="132">
        <v>24631.3</v>
      </c>
      <c r="D236" s="135">
        <f t="shared" si="3"/>
        <v>0.00997308302850453</v>
      </c>
    </row>
    <row r="237" ht="14.25" customHeight="1" spans="2:4">
      <c r="B237" s="137">
        <v>45882</v>
      </c>
      <c r="C237" s="132">
        <v>24619.35</v>
      </c>
      <c r="D237" s="135">
        <f t="shared" si="3"/>
        <v>0.000485390556615117</v>
      </c>
    </row>
    <row r="238" ht="14.25" customHeight="1" spans="2:4">
      <c r="B238" s="137">
        <v>45881</v>
      </c>
      <c r="C238" s="132">
        <v>24487.4</v>
      </c>
      <c r="D238" s="135">
        <f t="shared" si="3"/>
        <v>0.00538848550683202</v>
      </c>
    </row>
    <row r="239" ht="14.25" customHeight="1" spans="2:4">
      <c r="B239" s="137">
        <v>45880</v>
      </c>
      <c r="C239" s="132">
        <v>24585.05</v>
      </c>
      <c r="D239" s="135">
        <f t="shared" si="3"/>
        <v>-0.00397192602821628</v>
      </c>
    </row>
    <row r="240" ht="14.25" customHeight="1" spans="2:4">
      <c r="B240" s="137">
        <v>45877</v>
      </c>
      <c r="C240" s="132">
        <v>24363.3</v>
      </c>
      <c r="D240" s="135">
        <f t="shared" si="3"/>
        <v>0.00910180476372258</v>
      </c>
    </row>
    <row r="241" ht="14.25" customHeight="1" spans="2:4">
      <c r="B241" s="137">
        <v>45876</v>
      </c>
      <c r="C241" s="132">
        <v>24596.15</v>
      </c>
      <c r="D241" s="135">
        <f t="shared" si="3"/>
        <v>-0.00946692876730715</v>
      </c>
    </row>
    <row r="242" ht="14.25" customHeight="1" spans="2:4">
      <c r="B242" s="137">
        <v>45875</v>
      </c>
      <c r="C242" s="132">
        <v>24574.2</v>
      </c>
      <c r="D242" s="135">
        <f t="shared" si="3"/>
        <v>0.000893213207347587</v>
      </c>
    </row>
    <row r="243" ht="14.25" customHeight="1" spans="2:4">
      <c r="B243" s="137">
        <v>45874</v>
      </c>
      <c r="C243" s="132">
        <v>24649.55</v>
      </c>
      <c r="D243" s="135">
        <f t="shared" si="3"/>
        <v>-0.00305685093642682</v>
      </c>
    </row>
    <row r="244" ht="14.25" customHeight="1" spans="2:4">
      <c r="B244" s="137">
        <v>45873</v>
      </c>
      <c r="C244" s="132">
        <v>24722.75</v>
      </c>
      <c r="D244" s="135">
        <f t="shared" si="3"/>
        <v>-0.00296083566755323</v>
      </c>
    </row>
    <row r="245" ht="14.25" customHeight="1" spans="2:4">
      <c r="B245" s="137">
        <v>45870</v>
      </c>
      <c r="C245" s="132">
        <v>24565.35</v>
      </c>
      <c r="D245" s="135">
        <f t="shared" si="3"/>
        <v>0.00640739903970444</v>
      </c>
    </row>
    <row r="246" ht="14.25" customHeight="1" spans="2:4">
      <c r="B246" s="137">
        <v>45869</v>
      </c>
      <c r="C246" s="132">
        <v>24768.35</v>
      </c>
      <c r="D246" s="135">
        <f t="shared" si="3"/>
        <v>-0.00819594361352294</v>
      </c>
    </row>
    <row r="247" ht="14.25" customHeight="1" spans="2:4">
      <c r="B247" s="137">
        <v>45868</v>
      </c>
      <c r="C247" s="132">
        <v>24855.05</v>
      </c>
      <c r="D247" s="135">
        <f t="shared" si="3"/>
        <v>-0.00348822472696697</v>
      </c>
    </row>
    <row r="248" ht="14.25" customHeight="1" spans="2:4">
      <c r="B248" s="137">
        <v>45867</v>
      </c>
      <c r="C248" s="132">
        <v>24821.1</v>
      </c>
      <c r="D248" s="135">
        <f t="shared" si="3"/>
        <v>0.00136778789014191</v>
      </c>
    </row>
    <row r="249" ht="14.25" customHeight="1" spans="2:4">
      <c r="B249" s="137">
        <v>45866</v>
      </c>
      <c r="C249" s="132">
        <v>24680.9</v>
      </c>
      <c r="D249" s="135">
        <f t="shared" si="3"/>
        <v>0.00568050597830694</v>
      </c>
    </row>
    <row r="250" ht="14.25" customHeight="1" spans="2:4">
      <c r="B250" s="137">
        <v>45863</v>
      </c>
      <c r="C250" s="132">
        <v>24837</v>
      </c>
      <c r="D250" s="135">
        <f t="shared" si="3"/>
        <v>-0.00628497805693118</v>
      </c>
    </row>
    <row r="251" ht="14.25" customHeight="1" spans="2:4">
      <c r="B251" s="137">
        <v>45862</v>
      </c>
      <c r="C251" s="132">
        <v>25062.1</v>
      </c>
      <c r="D251" s="135">
        <f t="shared" si="3"/>
        <v>-0.00898168948332334</v>
      </c>
    </row>
    <row r="252" ht="14.25" customHeight="1" spans="2:4">
      <c r="B252" s="137">
        <v>45861</v>
      </c>
      <c r="C252" s="132">
        <v>25219.9</v>
      </c>
      <c r="D252" s="135">
        <f t="shared" si="3"/>
        <v>-0.00625696374688256</v>
      </c>
    </row>
    <row r="253" ht="14.25" customHeight="1" spans="2:4">
      <c r="B253" s="137">
        <v>45860</v>
      </c>
      <c r="C253" s="132">
        <v>25060.9</v>
      </c>
      <c r="D253" s="135">
        <f t="shared" si="3"/>
        <v>0.00634454468913725</v>
      </c>
    </row>
    <row r="254" ht="14.25" customHeight="1" spans="2:4">
      <c r="B254" s="137">
        <v>45859</v>
      </c>
      <c r="C254" s="132">
        <v>25090.7</v>
      </c>
      <c r="D254" s="135">
        <f t="shared" si="3"/>
        <v>-0.00118769105684569</v>
      </c>
    </row>
    <row r="255" ht="14.25" customHeight="1" spans="2:4">
      <c r="B255" s="137">
        <v>45856</v>
      </c>
      <c r="C255" s="132">
        <v>24968.4</v>
      </c>
      <c r="D255" s="135">
        <f t="shared" si="3"/>
        <v>0.00489819131382063</v>
      </c>
    </row>
    <row r="256" ht="14.25" customHeight="1" spans="2:4">
      <c r="B256" s="137">
        <v>45855</v>
      </c>
      <c r="C256" s="132">
        <v>25111.45</v>
      </c>
      <c r="D256" s="135">
        <f t="shared" si="3"/>
        <v>-0.00569660453697418</v>
      </c>
    </row>
    <row r="257" ht="14.25" customHeight="1" spans="2:4">
      <c r="B257" s="137">
        <v>45854</v>
      </c>
      <c r="C257" s="132">
        <v>25212.05</v>
      </c>
      <c r="D257" s="135">
        <f t="shared" si="3"/>
        <v>-0.00399015550104009</v>
      </c>
    </row>
    <row r="258" ht="14.25" customHeight="1" spans="2:4">
      <c r="B258" s="137">
        <v>45853</v>
      </c>
      <c r="C258" s="132">
        <v>25195.8</v>
      </c>
      <c r="D258" s="135">
        <f t="shared" si="3"/>
        <v>0.000644948761301389</v>
      </c>
    </row>
    <row r="259" ht="14.25" customHeight="1" spans="2:4">
      <c r="B259" s="137">
        <v>45852</v>
      </c>
      <c r="C259" s="132">
        <v>25082.3</v>
      </c>
      <c r="D259" s="135">
        <f t="shared" si="3"/>
        <v>0.00452510335973977</v>
      </c>
    </row>
    <row r="260" ht="14.25" customHeight="1" spans="2:4">
      <c r="B260" s="137">
        <v>45849</v>
      </c>
      <c r="C260" s="132">
        <v>25149.85</v>
      </c>
      <c r="D260" s="135">
        <f t="shared" si="3"/>
        <v>-0.00268590071113739</v>
      </c>
    </row>
    <row r="261" ht="14.25" customHeight="1" spans="2:4">
      <c r="B261" s="137">
        <v>45848</v>
      </c>
      <c r="C261" s="132">
        <v>25355.25</v>
      </c>
      <c r="D261" s="135">
        <f t="shared" si="3"/>
        <v>-0.00810088640419637</v>
      </c>
    </row>
    <row r="262" ht="14.25" customHeight="1" spans="2:4">
      <c r="B262" s="137">
        <v>45847</v>
      </c>
      <c r="C262" s="132">
        <v>25476.1</v>
      </c>
      <c r="D262" s="135">
        <f t="shared" si="3"/>
        <v>-0.00474366170646212</v>
      </c>
    </row>
    <row r="263" ht="14.25" customHeight="1" spans="2:4">
      <c r="B263" s="137">
        <v>45846</v>
      </c>
      <c r="C263" s="132">
        <v>25522.5</v>
      </c>
      <c r="D263" s="135">
        <f t="shared" si="3"/>
        <v>-0.00181800372220597</v>
      </c>
    </row>
    <row r="264" ht="14.25" customHeight="1" spans="2:4">
      <c r="B264" s="137">
        <v>45845</v>
      </c>
      <c r="C264" s="132">
        <v>25461.3</v>
      </c>
      <c r="D264" s="135">
        <f t="shared" si="3"/>
        <v>0.00240364788914937</v>
      </c>
    </row>
    <row r="265" ht="14.25" customHeight="1" spans="2:4">
      <c r="B265" s="137">
        <v>45842</v>
      </c>
      <c r="C265" s="132">
        <v>25461</v>
      </c>
      <c r="D265" s="135">
        <f t="shared" ref="D265:D328" si="4">C264/C265-1</f>
        <v>1.17827265229131e-5</v>
      </c>
    </row>
    <row r="266" ht="14.25" customHeight="1" spans="2:4">
      <c r="B266" s="137">
        <v>45841</v>
      </c>
      <c r="C266" s="132">
        <v>25405.3</v>
      </c>
      <c r="D266" s="135">
        <f t="shared" si="4"/>
        <v>0.00219245590487027</v>
      </c>
    </row>
    <row r="267" ht="14.25" customHeight="1" spans="2:4">
      <c r="B267" s="137">
        <v>45840</v>
      </c>
      <c r="C267" s="132">
        <v>25453.4</v>
      </c>
      <c r="D267" s="135">
        <f t="shared" si="4"/>
        <v>-0.00188972789489816</v>
      </c>
    </row>
    <row r="268" ht="14.25" customHeight="1" spans="2:4">
      <c r="B268" s="137">
        <v>45839</v>
      </c>
      <c r="C268" s="132">
        <v>25541.8</v>
      </c>
      <c r="D268" s="135">
        <f t="shared" si="4"/>
        <v>-0.00346099335207373</v>
      </c>
    </row>
    <row r="269" ht="14.25" customHeight="1" spans="2:4">
      <c r="B269" s="137">
        <v>45838</v>
      </c>
      <c r="C269" s="132">
        <v>25517.05</v>
      </c>
      <c r="D269" s="135">
        <f t="shared" si="4"/>
        <v>0.000969939706980227</v>
      </c>
    </row>
    <row r="270" ht="14.25" customHeight="1" spans="2:4">
      <c r="B270" s="137">
        <v>45835</v>
      </c>
      <c r="C270" s="132">
        <v>25637.8</v>
      </c>
      <c r="D270" s="135">
        <f t="shared" si="4"/>
        <v>-0.00470984249818629</v>
      </c>
    </row>
    <row r="271" ht="14.25" customHeight="1" spans="2:4">
      <c r="B271" s="137">
        <v>45834</v>
      </c>
      <c r="C271" s="132">
        <v>25549</v>
      </c>
      <c r="D271" s="135">
        <f t="shared" si="4"/>
        <v>0.00347567419468464</v>
      </c>
    </row>
    <row r="272" ht="14.25" customHeight="1" spans="2:4">
      <c r="B272" s="137">
        <v>45833</v>
      </c>
      <c r="C272" s="132">
        <v>25244.75</v>
      </c>
      <c r="D272" s="135">
        <f t="shared" si="4"/>
        <v>0.0120520108141298</v>
      </c>
    </row>
    <row r="273" ht="14.25" customHeight="1" spans="2:4">
      <c r="B273" s="137">
        <v>45832</v>
      </c>
      <c r="C273" s="132">
        <v>25044.35</v>
      </c>
      <c r="D273" s="135">
        <f t="shared" si="4"/>
        <v>0.00800180479828794</v>
      </c>
    </row>
    <row r="274" ht="14.25" customHeight="1" spans="2:4">
      <c r="B274" s="137">
        <v>45831</v>
      </c>
      <c r="C274" s="132">
        <v>24971.9</v>
      </c>
      <c r="D274" s="135">
        <f t="shared" si="4"/>
        <v>0.00290126101738353</v>
      </c>
    </row>
    <row r="275" ht="14.25" customHeight="1" spans="2:4">
      <c r="B275" s="137">
        <v>45828</v>
      </c>
      <c r="C275" s="132">
        <v>25112.4</v>
      </c>
      <c r="D275" s="135">
        <f t="shared" si="4"/>
        <v>-0.0055948455742979</v>
      </c>
    </row>
    <row r="276" ht="14.25" customHeight="1" spans="2:4">
      <c r="B276" s="137">
        <v>45827</v>
      </c>
      <c r="C276" s="132">
        <v>24793.25</v>
      </c>
      <c r="D276" s="135">
        <f t="shared" si="4"/>
        <v>0.0128724552045416</v>
      </c>
    </row>
    <row r="277" ht="14.25" customHeight="1" spans="2:4">
      <c r="B277" s="137">
        <v>45826</v>
      </c>
      <c r="C277" s="132">
        <v>24812.05</v>
      </c>
      <c r="D277" s="135">
        <f t="shared" si="4"/>
        <v>-0.000757696361243787</v>
      </c>
    </row>
    <row r="278" ht="14.25" customHeight="1" spans="2:4">
      <c r="B278" s="137">
        <v>45825</v>
      </c>
      <c r="C278" s="132">
        <v>24853.4</v>
      </c>
      <c r="D278" s="135">
        <f t="shared" si="4"/>
        <v>-0.00166375626674831</v>
      </c>
    </row>
    <row r="279" ht="14.25" customHeight="1" spans="2:4">
      <c r="B279" s="137">
        <v>45824</v>
      </c>
      <c r="C279" s="132">
        <v>24946.5</v>
      </c>
      <c r="D279" s="135">
        <f t="shared" si="4"/>
        <v>-0.00373198645100514</v>
      </c>
    </row>
    <row r="280" ht="14.25" customHeight="1" spans="2:4">
      <c r="B280" s="137">
        <v>45821</v>
      </c>
      <c r="C280" s="132">
        <v>24718.6</v>
      </c>
      <c r="D280" s="135">
        <f t="shared" si="4"/>
        <v>0.0092197778191323</v>
      </c>
    </row>
    <row r="281" ht="14.25" customHeight="1" spans="2:4">
      <c r="B281" s="137">
        <v>45820</v>
      </c>
      <c r="C281" s="132">
        <v>24888.2</v>
      </c>
      <c r="D281" s="135">
        <f t="shared" si="4"/>
        <v>-0.00681447432920024</v>
      </c>
    </row>
    <row r="282" ht="14.25" customHeight="1" spans="2:4">
      <c r="B282" s="137">
        <v>45819</v>
      </c>
      <c r="C282" s="132">
        <v>25141.4</v>
      </c>
      <c r="D282" s="135">
        <f t="shared" si="4"/>
        <v>-0.0100710382078961</v>
      </c>
    </row>
    <row r="283" ht="14.25" customHeight="1" spans="2:4">
      <c r="B283" s="137">
        <v>45818</v>
      </c>
      <c r="C283" s="132">
        <v>25104.25</v>
      </c>
      <c r="D283" s="135">
        <f t="shared" si="4"/>
        <v>0.00147982911260058</v>
      </c>
    </row>
    <row r="284" ht="14.25" customHeight="1" spans="2:4">
      <c r="B284" s="137">
        <v>45817</v>
      </c>
      <c r="C284" s="132">
        <v>25103.2</v>
      </c>
      <c r="D284" s="135">
        <f t="shared" si="4"/>
        <v>4.18273367539523e-5</v>
      </c>
    </row>
    <row r="285" ht="14.25" customHeight="1" spans="2:4">
      <c r="B285" s="137">
        <v>45814</v>
      </c>
      <c r="C285" s="132">
        <v>25003.05</v>
      </c>
      <c r="D285" s="135">
        <f t="shared" si="4"/>
        <v>0.00400551132761806</v>
      </c>
    </row>
    <row r="286" ht="14.25" customHeight="1" spans="2:4">
      <c r="B286" s="137">
        <v>45813</v>
      </c>
      <c r="C286" s="132">
        <v>24750.9</v>
      </c>
      <c r="D286" s="135">
        <f t="shared" si="4"/>
        <v>0.0101875083330303</v>
      </c>
    </row>
    <row r="287" ht="14.25" customHeight="1" spans="2:4">
      <c r="B287" s="137">
        <v>45812</v>
      </c>
      <c r="C287" s="132">
        <v>24620.2</v>
      </c>
      <c r="D287" s="135">
        <f t="shared" si="4"/>
        <v>0.00530864899554029</v>
      </c>
    </row>
    <row r="288" ht="14.25" customHeight="1" spans="2:4">
      <c r="B288" s="137">
        <v>45811</v>
      </c>
      <c r="C288" s="132">
        <v>24542.5</v>
      </c>
      <c r="D288" s="135">
        <f t="shared" si="4"/>
        <v>0.00316593664052167</v>
      </c>
    </row>
    <row r="289" ht="14.25" customHeight="1" spans="2:4">
      <c r="B289" s="137">
        <v>45810</v>
      </c>
      <c r="C289" s="132">
        <v>24716.6</v>
      </c>
      <c r="D289" s="135">
        <f t="shared" si="4"/>
        <v>-0.00704384907309252</v>
      </c>
    </row>
    <row r="290" ht="14.25" customHeight="1" spans="2:4">
      <c r="B290" s="137">
        <v>45807</v>
      </c>
      <c r="C290" s="132">
        <v>24750.7</v>
      </c>
      <c r="D290" s="135">
        <f t="shared" si="4"/>
        <v>-0.00137773881142766</v>
      </c>
    </row>
    <row r="291" ht="14.25" customHeight="1" spans="2:4">
      <c r="B291" s="137">
        <v>45806</v>
      </c>
      <c r="C291" s="132">
        <v>24833.6</v>
      </c>
      <c r="D291" s="135">
        <f t="shared" si="4"/>
        <v>-0.00333821918690802</v>
      </c>
    </row>
    <row r="292" ht="14.25" customHeight="1" spans="2:4">
      <c r="B292" s="137">
        <v>45805</v>
      </c>
      <c r="C292" s="132">
        <v>24752.45</v>
      </c>
      <c r="D292" s="135">
        <f t="shared" si="4"/>
        <v>0.00327846334403259</v>
      </c>
    </row>
    <row r="293" ht="14.25" customHeight="1" spans="2:4">
      <c r="B293" s="137">
        <v>45804</v>
      </c>
      <c r="C293" s="132">
        <v>24826.2</v>
      </c>
      <c r="D293" s="135">
        <f t="shared" si="4"/>
        <v>-0.00297065197251289</v>
      </c>
    </row>
    <row r="294" ht="14.25" customHeight="1" spans="2:4">
      <c r="B294" s="137">
        <v>45803</v>
      </c>
      <c r="C294" s="132">
        <v>25001.15</v>
      </c>
      <c r="D294" s="135">
        <f t="shared" si="4"/>
        <v>-0.00699767810680707</v>
      </c>
    </row>
    <row r="295" ht="14.25" customHeight="1" spans="2:4">
      <c r="B295" s="137">
        <v>45800</v>
      </c>
      <c r="C295" s="132">
        <v>24853.15</v>
      </c>
      <c r="D295" s="135">
        <f t="shared" si="4"/>
        <v>0.00595497954987589</v>
      </c>
    </row>
    <row r="296" ht="14.25" customHeight="1" spans="2:4">
      <c r="B296" s="137">
        <v>45799</v>
      </c>
      <c r="C296" s="132">
        <v>24609.7</v>
      </c>
      <c r="D296" s="135">
        <f t="shared" si="4"/>
        <v>0.00989244078554385</v>
      </c>
    </row>
    <row r="297" ht="14.25" customHeight="1" spans="2:4">
      <c r="B297" s="137">
        <v>45798</v>
      </c>
      <c r="C297" s="132">
        <v>24813.45</v>
      </c>
      <c r="D297" s="135">
        <f t="shared" si="4"/>
        <v>-0.00821127251551079</v>
      </c>
    </row>
    <row r="298" ht="14.25" customHeight="1" spans="2:4">
      <c r="B298" s="137">
        <v>45797</v>
      </c>
      <c r="C298" s="132">
        <v>24683.9</v>
      </c>
      <c r="D298" s="135">
        <f t="shared" si="4"/>
        <v>0.00524836026721864</v>
      </c>
    </row>
    <row r="299" ht="14.25" customHeight="1" spans="2:4">
      <c r="B299" s="137">
        <v>45796</v>
      </c>
      <c r="C299" s="132">
        <v>24945.45</v>
      </c>
      <c r="D299" s="135">
        <f t="shared" si="4"/>
        <v>-0.0104848780038043</v>
      </c>
    </row>
    <row r="300" ht="14.25" customHeight="1" spans="2:4">
      <c r="B300" s="137">
        <v>45793</v>
      </c>
      <c r="C300" s="132">
        <v>25019.8</v>
      </c>
      <c r="D300" s="135">
        <f t="shared" si="4"/>
        <v>-0.00297164645600678</v>
      </c>
    </row>
    <row r="301" ht="14.25" customHeight="1" spans="2:4">
      <c r="B301" s="137">
        <v>45792</v>
      </c>
      <c r="C301" s="132">
        <v>25062.1</v>
      </c>
      <c r="D301" s="135">
        <f t="shared" si="4"/>
        <v>-0.00168780748620423</v>
      </c>
    </row>
    <row r="302" ht="14.25" customHeight="1" spans="2:4">
      <c r="B302" s="137">
        <v>45791</v>
      </c>
      <c r="C302" s="132">
        <v>24666.9</v>
      </c>
      <c r="D302" s="135">
        <f t="shared" si="4"/>
        <v>0.016021470067175</v>
      </c>
    </row>
    <row r="303" ht="14.25" customHeight="1" spans="2:4">
      <c r="B303" s="137">
        <v>45790</v>
      </c>
      <c r="C303" s="132">
        <v>24578.35</v>
      </c>
      <c r="D303" s="135">
        <f t="shared" si="4"/>
        <v>0.00360276422135763</v>
      </c>
    </row>
    <row r="304" ht="14.25" customHeight="1" spans="2:4">
      <c r="B304" s="137">
        <v>45789</v>
      </c>
      <c r="C304" s="132">
        <v>24924.7</v>
      </c>
      <c r="D304" s="135">
        <f t="shared" si="4"/>
        <v>-0.0138958543131914</v>
      </c>
    </row>
    <row r="305" ht="14.25" customHeight="1" spans="2:4">
      <c r="B305" s="137">
        <v>45786</v>
      </c>
      <c r="C305" s="132">
        <v>24008</v>
      </c>
      <c r="D305" s="135">
        <f t="shared" si="4"/>
        <v>0.0381831056314561</v>
      </c>
    </row>
    <row r="306" ht="14.25" customHeight="1" spans="2:4">
      <c r="B306" s="137">
        <v>45785</v>
      </c>
      <c r="C306" s="132">
        <v>24273.8</v>
      </c>
      <c r="D306" s="135">
        <f t="shared" si="4"/>
        <v>-0.0109500778617274</v>
      </c>
    </row>
    <row r="307" ht="14.25" customHeight="1" spans="2:4">
      <c r="B307" s="137">
        <v>45784</v>
      </c>
      <c r="C307" s="132">
        <v>24414.4</v>
      </c>
      <c r="D307" s="135">
        <f t="shared" si="4"/>
        <v>-0.00575889638901639</v>
      </c>
    </row>
    <row r="308" ht="14.25" customHeight="1" spans="2:4">
      <c r="B308" s="137">
        <v>45783</v>
      </c>
      <c r="C308" s="132">
        <v>24379.6</v>
      </c>
      <c r="D308" s="135">
        <f t="shared" si="4"/>
        <v>0.00142742292736564</v>
      </c>
    </row>
    <row r="309" ht="14.25" customHeight="1" spans="2:4">
      <c r="B309" s="137">
        <v>45782</v>
      </c>
      <c r="C309" s="132">
        <v>24461.15</v>
      </c>
      <c r="D309" s="135">
        <f t="shared" si="4"/>
        <v>-0.00333385797478869</v>
      </c>
    </row>
    <row r="310" ht="14.25" customHeight="1" spans="2:4">
      <c r="B310" s="137">
        <v>45779</v>
      </c>
      <c r="C310" s="132">
        <v>24346.7</v>
      </c>
      <c r="D310" s="135">
        <f t="shared" si="4"/>
        <v>0.00470084241396163</v>
      </c>
    </row>
    <row r="311" ht="14.25" customHeight="1" spans="2:4">
      <c r="B311" s="137">
        <v>45777</v>
      </c>
      <c r="C311" s="132">
        <v>24334.2</v>
      </c>
      <c r="D311" s="135">
        <f t="shared" si="4"/>
        <v>0.000513680334673028</v>
      </c>
    </row>
    <row r="312" ht="14.25" customHeight="1" spans="2:4">
      <c r="B312" s="137">
        <v>45776</v>
      </c>
      <c r="C312" s="132">
        <v>24335.95</v>
      </c>
      <c r="D312" s="135">
        <f t="shared" si="4"/>
        <v>-7.19100754233981e-5</v>
      </c>
    </row>
    <row r="313" ht="14.25" customHeight="1" spans="2:4">
      <c r="B313" s="137">
        <v>45775</v>
      </c>
      <c r="C313" s="132">
        <v>24328.5</v>
      </c>
      <c r="D313" s="135">
        <f t="shared" si="4"/>
        <v>0.000306225209116828</v>
      </c>
    </row>
    <row r="314" ht="14.25" customHeight="1" spans="2:4">
      <c r="B314" s="137">
        <v>45772</v>
      </c>
      <c r="C314" s="132">
        <v>24039.35</v>
      </c>
      <c r="D314" s="135">
        <f t="shared" si="4"/>
        <v>0.0120281954378967</v>
      </c>
    </row>
    <row r="315" ht="14.25" customHeight="1" spans="2:4">
      <c r="B315" s="137">
        <v>45771</v>
      </c>
      <c r="C315" s="132">
        <v>24246.7</v>
      </c>
      <c r="D315" s="135">
        <f t="shared" si="4"/>
        <v>-0.0085516791975816</v>
      </c>
    </row>
    <row r="316" ht="14.25" customHeight="1" spans="2:4">
      <c r="B316" s="137">
        <v>45770</v>
      </c>
      <c r="C316" s="132">
        <v>24328.95</v>
      </c>
      <c r="D316" s="135">
        <f t="shared" si="4"/>
        <v>-0.00338074598369431</v>
      </c>
    </row>
    <row r="317" ht="14.25" customHeight="1" spans="2:4">
      <c r="B317" s="137">
        <v>45769</v>
      </c>
      <c r="C317" s="132">
        <v>24167.25</v>
      </c>
      <c r="D317" s="135">
        <f t="shared" si="4"/>
        <v>0.00669087297892812</v>
      </c>
    </row>
    <row r="318" ht="14.25" customHeight="1" spans="2:4">
      <c r="B318" s="137">
        <v>45768</v>
      </c>
      <c r="C318" s="132">
        <v>24125.55</v>
      </c>
      <c r="D318" s="135">
        <f t="shared" si="4"/>
        <v>0.00172845800406618</v>
      </c>
    </row>
    <row r="319" ht="14.25" customHeight="1" spans="2:4">
      <c r="B319" s="137">
        <v>45764</v>
      </c>
      <c r="C319" s="132">
        <v>23851.65</v>
      </c>
      <c r="D319" s="135">
        <f t="shared" si="4"/>
        <v>0.0114834822748111</v>
      </c>
    </row>
    <row r="320" ht="14.25" customHeight="1" spans="2:4">
      <c r="B320" s="137">
        <v>45763</v>
      </c>
      <c r="C320" s="132">
        <v>23437.2</v>
      </c>
      <c r="D320" s="135">
        <f t="shared" si="4"/>
        <v>0.0176834263478574</v>
      </c>
    </row>
    <row r="321" ht="14.25" customHeight="1" spans="2:4">
      <c r="B321" s="137">
        <v>45762</v>
      </c>
      <c r="C321" s="132">
        <v>23328.55</v>
      </c>
      <c r="D321" s="135">
        <f t="shared" si="4"/>
        <v>0.00465738333501231</v>
      </c>
    </row>
    <row r="322" ht="14.25" customHeight="1" spans="2:4">
      <c r="B322" s="137">
        <v>45758</v>
      </c>
      <c r="C322" s="132">
        <v>22828.55</v>
      </c>
      <c r="D322" s="135">
        <f t="shared" si="4"/>
        <v>0.0219023985316633</v>
      </c>
    </row>
    <row r="323" ht="14.25" customHeight="1" spans="2:4">
      <c r="B323" s="137">
        <v>45756</v>
      </c>
      <c r="C323" s="132">
        <v>22399.15</v>
      </c>
      <c r="D323" s="135">
        <f t="shared" si="4"/>
        <v>0.0191703703042303</v>
      </c>
    </row>
    <row r="324" ht="14.25" customHeight="1" spans="2:4">
      <c r="B324" s="137">
        <v>45755</v>
      </c>
      <c r="C324" s="132">
        <v>22535.85</v>
      </c>
      <c r="D324" s="135">
        <f t="shared" si="4"/>
        <v>-0.00606589056991402</v>
      </c>
    </row>
    <row r="325" ht="14.25" customHeight="1" spans="2:4">
      <c r="B325" s="137">
        <v>45754</v>
      </c>
      <c r="C325" s="132">
        <v>22161.6</v>
      </c>
      <c r="D325" s="135">
        <f t="shared" si="4"/>
        <v>0.0168873186051548</v>
      </c>
    </row>
    <row r="326" ht="14.25" customHeight="1" spans="2:4">
      <c r="B326" s="137">
        <v>45751</v>
      </c>
      <c r="C326" s="132">
        <v>22904.45</v>
      </c>
      <c r="D326" s="135">
        <f t="shared" si="4"/>
        <v>-0.0324325622313569</v>
      </c>
    </row>
    <row r="327" ht="14.25" customHeight="1" spans="2:4">
      <c r="B327" s="137">
        <v>45750</v>
      </c>
      <c r="C327" s="132">
        <v>23250.1</v>
      </c>
      <c r="D327" s="135">
        <f t="shared" si="4"/>
        <v>-0.0148666027242893</v>
      </c>
    </row>
    <row r="328" ht="14.25" customHeight="1" spans="2:4">
      <c r="B328" s="137">
        <v>45749</v>
      </c>
      <c r="C328" s="132">
        <v>23332.35</v>
      </c>
      <c r="D328" s="135">
        <f t="shared" si="4"/>
        <v>-0.00352514855983221</v>
      </c>
    </row>
    <row r="329" ht="14.25" customHeight="1" spans="2:4">
      <c r="B329" s="137">
        <v>45748</v>
      </c>
      <c r="C329" s="132">
        <v>23165.7</v>
      </c>
      <c r="D329" s="135">
        <f t="shared" ref="D329:D392" si="5">C328/C329-1</f>
        <v>0.00719382535386348</v>
      </c>
    </row>
    <row r="330" ht="14.25" customHeight="1" spans="2:4">
      <c r="B330" s="137">
        <v>45744</v>
      </c>
      <c r="C330" s="132">
        <v>23519.35</v>
      </c>
      <c r="D330" s="135">
        <f t="shared" si="5"/>
        <v>-0.0150365550068347</v>
      </c>
    </row>
    <row r="331" ht="14.25" customHeight="1" spans="2:4">
      <c r="B331" s="137">
        <v>45743</v>
      </c>
      <c r="C331" s="132">
        <v>23591.95</v>
      </c>
      <c r="D331" s="135">
        <f t="shared" si="5"/>
        <v>-0.00307732086580392</v>
      </c>
    </row>
    <row r="332" ht="14.25" customHeight="1" spans="2:4">
      <c r="B332" s="137">
        <v>45742</v>
      </c>
      <c r="C332" s="132">
        <v>23486.85</v>
      </c>
      <c r="D332" s="135">
        <f t="shared" si="5"/>
        <v>0.00447484443422597</v>
      </c>
    </row>
    <row r="333" ht="14.25" customHeight="1" spans="2:4">
      <c r="B333" s="137">
        <v>45741</v>
      </c>
      <c r="C333" s="132">
        <v>23668.65</v>
      </c>
      <c r="D333" s="135">
        <f t="shared" si="5"/>
        <v>-0.0076810464475161</v>
      </c>
    </row>
    <row r="334" ht="14.25" customHeight="1" spans="2:4">
      <c r="B334" s="137">
        <v>45740</v>
      </c>
      <c r="C334" s="132">
        <v>23658.35</v>
      </c>
      <c r="D334" s="135">
        <f t="shared" si="5"/>
        <v>0.000435364258285276</v>
      </c>
    </row>
    <row r="335" ht="14.25" customHeight="1" spans="2:4">
      <c r="B335" s="137">
        <v>45737</v>
      </c>
      <c r="C335" s="132">
        <v>23350.4</v>
      </c>
      <c r="D335" s="135">
        <f t="shared" si="5"/>
        <v>0.0131882109085923</v>
      </c>
    </row>
    <row r="336" ht="14.25" customHeight="1" spans="2:4">
      <c r="B336" s="137">
        <v>45736</v>
      </c>
      <c r="C336" s="132">
        <v>23190.65</v>
      </c>
      <c r="D336" s="135">
        <f t="shared" si="5"/>
        <v>0.00688855206732031</v>
      </c>
    </row>
    <row r="337" ht="14.25" customHeight="1" spans="2:4">
      <c r="B337" s="137">
        <v>45735</v>
      </c>
      <c r="C337" s="132">
        <v>22907.6</v>
      </c>
      <c r="D337" s="135">
        <f t="shared" si="5"/>
        <v>0.0123561612739878</v>
      </c>
    </row>
    <row r="338" ht="14.25" customHeight="1" spans="2:4">
      <c r="B338" s="137">
        <v>45734</v>
      </c>
      <c r="C338" s="132">
        <v>22834.3</v>
      </c>
      <c r="D338" s="135">
        <f t="shared" si="5"/>
        <v>0.00321008307677473</v>
      </c>
    </row>
    <row r="339" ht="14.25" customHeight="1" spans="2:4">
      <c r="B339" s="137">
        <v>45733</v>
      </c>
      <c r="C339" s="132">
        <v>22508.75</v>
      </c>
      <c r="D339" s="135">
        <f t="shared" si="5"/>
        <v>0.0144632642861109</v>
      </c>
    </row>
    <row r="340" ht="14.25" customHeight="1" spans="2:4">
      <c r="B340" s="137">
        <v>45729</v>
      </c>
      <c r="C340" s="132">
        <v>22397.2</v>
      </c>
      <c r="D340" s="135">
        <f t="shared" si="5"/>
        <v>0.00498053328094583</v>
      </c>
    </row>
    <row r="341" ht="14.25" customHeight="1" spans="2:4">
      <c r="B341" s="137">
        <v>45728</v>
      </c>
      <c r="C341" s="132">
        <v>22470.5</v>
      </c>
      <c r="D341" s="135">
        <f t="shared" si="5"/>
        <v>-0.00326205469393204</v>
      </c>
    </row>
    <row r="342" ht="14.25" customHeight="1" spans="2:4">
      <c r="B342" s="137">
        <v>45727</v>
      </c>
      <c r="C342" s="132">
        <v>22497.9</v>
      </c>
      <c r="D342" s="135">
        <f t="shared" si="5"/>
        <v>-0.00121789144764628</v>
      </c>
    </row>
    <row r="343" ht="14.25" customHeight="1" spans="2:4">
      <c r="B343" s="137">
        <v>45726</v>
      </c>
      <c r="C343" s="132">
        <v>22460.3</v>
      </c>
      <c r="D343" s="135">
        <f t="shared" si="5"/>
        <v>0.00167406490563349</v>
      </c>
    </row>
    <row r="344" ht="14.25" customHeight="1" spans="2:4">
      <c r="B344" s="137">
        <v>45723</v>
      </c>
      <c r="C344" s="132">
        <v>22552.5</v>
      </c>
      <c r="D344" s="135">
        <f t="shared" si="5"/>
        <v>-0.00408823855448404</v>
      </c>
    </row>
    <row r="345" ht="14.25" customHeight="1" spans="2:4">
      <c r="B345" s="137">
        <v>45722</v>
      </c>
      <c r="C345" s="132">
        <v>22544.7</v>
      </c>
      <c r="D345" s="135">
        <f t="shared" si="5"/>
        <v>0.000345979321082046</v>
      </c>
    </row>
    <row r="346" ht="14.25" customHeight="1" spans="2:4">
      <c r="B346" s="137">
        <v>45721</v>
      </c>
      <c r="C346" s="132">
        <v>22337.3</v>
      </c>
      <c r="D346" s="135">
        <f t="shared" si="5"/>
        <v>0.00928491805186837</v>
      </c>
    </row>
    <row r="347" ht="14.25" customHeight="1" spans="2:4">
      <c r="B347" s="137">
        <v>45720</v>
      </c>
      <c r="C347" s="132">
        <v>22082.65</v>
      </c>
      <c r="D347" s="135">
        <f t="shared" si="5"/>
        <v>0.0115316775839855</v>
      </c>
    </row>
    <row r="348" ht="14.25" customHeight="1" spans="2:4">
      <c r="B348" s="137">
        <v>45719</v>
      </c>
      <c r="C348" s="132">
        <v>22119.3</v>
      </c>
      <c r="D348" s="135">
        <f t="shared" si="5"/>
        <v>-0.00165692404370832</v>
      </c>
    </row>
    <row r="349" ht="14.25" customHeight="1" spans="2:4">
      <c r="B349" s="137">
        <v>45716</v>
      </c>
      <c r="C349" s="132">
        <v>22124.7</v>
      </c>
      <c r="D349" s="135">
        <f t="shared" si="5"/>
        <v>-0.00024407110604896</v>
      </c>
    </row>
    <row r="350" ht="14.25" customHeight="1" spans="2:4">
      <c r="B350" s="137">
        <v>45715</v>
      </c>
      <c r="C350" s="132">
        <v>22545.05</v>
      </c>
      <c r="D350" s="135">
        <f t="shared" si="5"/>
        <v>-0.0186448910071167</v>
      </c>
    </row>
    <row r="351" ht="14.25" customHeight="1" spans="2:4">
      <c r="B351" s="137">
        <v>45713</v>
      </c>
      <c r="C351" s="132">
        <v>22547.55</v>
      </c>
      <c r="D351" s="135">
        <f t="shared" si="5"/>
        <v>-0.000110876791491799</v>
      </c>
    </row>
    <row r="352" ht="14.25" customHeight="1" spans="2:4">
      <c r="B352" s="137">
        <v>45712</v>
      </c>
      <c r="C352" s="132">
        <v>22553.35</v>
      </c>
      <c r="D352" s="135">
        <f t="shared" si="5"/>
        <v>-0.000257168003866326</v>
      </c>
    </row>
    <row r="353" ht="14.25" customHeight="1" spans="2:4">
      <c r="B353" s="137">
        <v>45709</v>
      </c>
      <c r="C353" s="132">
        <v>22795.9</v>
      </c>
      <c r="D353" s="135">
        <f t="shared" si="5"/>
        <v>-0.0106400712408812</v>
      </c>
    </row>
    <row r="354" ht="14.25" customHeight="1" spans="2:4">
      <c r="B354" s="137">
        <v>45708</v>
      </c>
      <c r="C354" s="132">
        <v>22913.15</v>
      </c>
      <c r="D354" s="135">
        <f t="shared" si="5"/>
        <v>-0.00511714888612003</v>
      </c>
    </row>
    <row r="355" ht="14.25" customHeight="1" spans="2:4">
      <c r="B355" s="137">
        <v>45707</v>
      </c>
      <c r="C355" s="132">
        <v>22932.9</v>
      </c>
      <c r="D355" s="135">
        <f t="shared" si="5"/>
        <v>-0.000861208133293268</v>
      </c>
    </row>
    <row r="356" ht="14.25" customHeight="1" spans="2:4">
      <c r="B356" s="137">
        <v>45706</v>
      </c>
      <c r="C356" s="132">
        <v>22945.3</v>
      </c>
      <c r="D356" s="135">
        <f t="shared" si="5"/>
        <v>-0.000540415684257667</v>
      </c>
    </row>
    <row r="357" ht="14.25" customHeight="1" spans="2:4">
      <c r="B357" s="137">
        <v>45705</v>
      </c>
      <c r="C357" s="132">
        <v>22959.5</v>
      </c>
      <c r="D357" s="135">
        <f t="shared" si="5"/>
        <v>-0.000618480367603813</v>
      </c>
    </row>
    <row r="358" ht="14.25" customHeight="1" spans="2:4">
      <c r="B358" s="137">
        <v>45702</v>
      </c>
      <c r="C358" s="132">
        <v>22929.25</v>
      </c>
      <c r="D358" s="135">
        <f t="shared" si="5"/>
        <v>0.00131927559776268</v>
      </c>
    </row>
    <row r="359" ht="14.25" customHeight="1" spans="2:4">
      <c r="B359" s="137">
        <v>45701</v>
      </c>
      <c r="C359" s="132">
        <v>23031.4</v>
      </c>
      <c r="D359" s="135">
        <f t="shared" si="5"/>
        <v>-0.00443524926839023</v>
      </c>
    </row>
    <row r="360" ht="14.25" customHeight="1" spans="2:4">
      <c r="B360" s="137">
        <v>45700</v>
      </c>
      <c r="C360" s="132">
        <v>23045.25</v>
      </c>
      <c r="D360" s="135">
        <f t="shared" si="5"/>
        <v>-0.000600991527538119</v>
      </c>
    </row>
    <row r="361" ht="14.25" customHeight="1" spans="2:4">
      <c r="B361" s="137">
        <v>45699</v>
      </c>
      <c r="C361" s="132">
        <v>23071.8</v>
      </c>
      <c r="D361" s="135">
        <f t="shared" si="5"/>
        <v>-0.00115075546771382</v>
      </c>
    </row>
    <row r="362" ht="14.25" customHeight="1" spans="2:4">
      <c r="B362" s="137">
        <v>45698</v>
      </c>
      <c r="C362" s="132">
        <v>23381.6</v>
      </c>
      <c r="D362" s="135">
        <f t="shared" si="5"/>
        <v>-0.0132497348342286</v>
      </c>
    </row>
    <row r="363" ht="14.25" customHeight="1" spans="2:4">
      <c r="B363" s="137">
        <v>45695</v>
      </c>
      <c r="C363" s="132">
        <v>23559.95</v>
      </c>
      <c r="D363" s="135">
        <f t="shared" si="5"/>
        <v>-0.00757005002132871</v>
      </c>
    </row>
    <row r="364" ht="14.25" customHeight="1" spans="2:4">
      <c r="B364" s="137">
        <v>45694</v>
      </c>
      <c r="C364" s="132">
        <v>23603.35</v>
      </c>
      <c r="D364" s="135">
        <f t="shared" si="5"/>
        <v>-0.00183872204581115</v>
      </c>
    </row>
    <row r="365" ht="14.25" customHeight="1" spans="2:4">
      <c r="B365" s="137">
        <v>45693</v>
      </c>
      <c r="C365" s="132">
        <v>23696.3</v>
      </c>
      <c r="D365" s="135">
        <f t="shared" si="5"/>
        <v>-0.00392255331001046</v>
      </c>
    </row>
    <row r="366" ht="14.25" customHeight="1" spans="2:4">
      <c r="B366" s="137">
        <v>45692</v>
      </c>
      <c r="C366" s="132">
        <v>23739.25</v>
      </c>
      <c r="D366" s="135">
        <f t="shared" si="5"/>
        <v>-0.00180923997177673</v>
      </c>
    </row>
    <row r="367" ht="14.25" customHeight="1" spans="2:4">
      <c r="B367" s="137">
        <v>45691</v>
      </c>
      <c r="C367" s="132">
        <v>23361.05</v>
      </c>
      <c r="D367" s="135">
        <f t="shared" si="5"/>
        <v>0.0161893408044587</v>
      </c>
    </row>
    <row r="368" ht="14.25" customHeight="1" spans="2:4">
      <c r="B368" s="137">
        <v>45689</v>
      </c>
      <c r="C368" s="132">
        <v>23482.15</v>
      </c>
      <c r="D368" s="135">
        <f t="shared" si="5"/>
        <v>-0.00515710869745756</v>
      </c>
    </row>
    <row r="369" ht="14.25" customHeight="1" spans="2:4">
      <c r="B369" s="137">
        <v>45688</v>
      </c>
      <c r="C369" s="132">
        <v>23508.4</v>
      </c>
      <c r="D369" s="135">
        <f t="shared" si="5"/>
        <v>-0.00111662214357422</v>
      </c>
    </row>
    <row r="370" ht="14.25" customHeight="1" spans="2:4">
      <c r="B370" s="137">
        <v>45687</v>
      </c>
      <c r="C370" s="132">
        <v>23249.5</v>
      </c>
      <c r="D370" s="135">
        <f t="shared" si="5"/>
        <v>0.0111357233488893</v>
      </c>
    </row>
    <row r="371" ht="14.25" customHeight="1" spans="2:4">
      <c r="B371" s="137">
        <v>45686</v>
      </c>
      <c r="C371" s="132">
        <v>23163.1</v>
      </c>
      <c r="D371" s="135">
        <f t="shared" si="5"/>
        <v>0.00373007067275122</v>
      </c>
    </row>
    <row r="372" ht="14.25" customHeight="1" spans="2:4">
      <c r="B372" s="137">
        <v>45685</v>
      </c>
      <c r="C372" s="132">
        <v>22957.25</v>
      </c>
      <c r="D372" s="135">
        <f t="shared" si="5"/>
        <v>0.00896666630367315</v>
      </c>
    </row>
    <row r="373" ht="14.25" customHeight="1" spans="2:4">
      <c r="B373" s="137">
        <v>45684</v>
      </c>
      <c r="C373" s="132">
        <v>22829.15</v>
      </c>
      <c r="D373" s="135">
        <f t="shared" si="5"/>
        <v>0.00561124702408966</v>
      </c>
    </row>
    <row r="374" ht="14.25" customHeight="1" spans="2:4">
      <c r="B374" s="137">
        <v>45681</v>
      </c>
      <c r="C374" s="132">
        <v>23092.2</v>
      </c>
      <c r="D374" s="135">
        <f t="shared" si="5"/>
        <v>-0.0113912922978321</v>
      </c>
    </row>
    <row r="375" ht="14.25" customHeight="1" spans="2:4">
      <c r="B375" s="137">
        <v>45680</v>
      </c>
      <c r="C375" s="132">
        <v>23205.35</v>
      </c>
      <c r="D375" s="135">
        <f t="shared" si="5"/>
        <v>-0.00487603074291043</v>
      </c>
    </row>
    <row r="376" ht="14.25" customHeight="1" spans="2:4">
      <c r="B376" s="137">
        <v>45679</v>
      </c>
      <c r="C376" s="132">
        <v>23155.35</v>
      </c>
      <c r="D376" s="135">
        <f t="shared" si="5"/>
        <v>0.00215932818981357</v>
      </c>
    </row>
    <row r="377" ht="14.25" customHeight="1" spans="2:4">
      <c r="B377" s="137">
        <v>45678</v>
      </c>
      <c r="C377" s="132">
        <v>23024.65</v>
      </c>
      <c r="D377" s="135">
        <f t="shared" si="5"/>
        <v>0.0056765249417472</v>
      </c>
    </row>
    <row r="378" ht="14.25" customHeight="1" spans="2:4">
      <c r="B378" s="137">
        <v>45677</v>
      </c>
      <c r="C378" s="132">
        <v>23344.75</v>
      </c>
      <c r="D378" s="135">
        <f t="shared" si="5"/>
        <v>-0.0137118624101779</v>
      </c>
    </row>
    <row r="379" ht="14.25" customHeight="1" spans="2:4">
      <c r="B379" s="137">
        <v>45674</v>
      </c>
      <c r="C379" s="132">
        <v>23203.2</v>
      </c>
      <c r="D379" s="135">
        <f t="shared" si="5"/>
        <v>0.0061004516618397</v>
      </c>
    </row>
    <row r="380" ht="14.25" customHeight="1" spans="2:4">
      <c r="B380" s="137">
        <v>45673</v>
      </c>
      <c r="C380" s="132">
        <v>23311.8</v>
      </c>
      <c r="D380" s="135">
        <f t="shared" si="5"/>
        <v>-0.00465858492265714</v>
      </c>
    </row>
    <row r="381" ht="14.25" customHeight="1" spans="2:4">
      <c r="B381" s="137">
        <v>45672</v>
      </c>
      <c r="C381" s="132">
        <v>23213.2</v>
      </c>
      <c r="D381" s="135">
        <f t="shared" si="5"/>
        <v>0.0042475832715867</v>
      </c>
    </row>
    <row r="382" ht="14.25" customHeight="1" spans="2:4">
      <c r="B382" s="137">
        <v>45671</v>
      </c>
      <c r="C382" s="132">
        <v>23176.05</v>
      </c>
      <c r="D382" s="135">
        <f t="shared" si="5"/>
        <v>0.00160294787075466</v>
      </c>
    </row>
    <row r="383" ht="14.25" customHeight="1" spans="2:4">
      <c r="B383" s="137">
        <v>45670</v>
      </c>
      <c r="C383" s="132">
        <v>23085.95</v>
      </c>
      <c r="D383" s="135">
        <f t="shared" si="5"/>
        <v>0.0039028066854514</v>
      </c>
    </row>
    <row r="384" ht="14.25" customHeight="1" spans="2:4">
      <c r="B384" s="137">
        <v>45667</v>
      </c>
      <c r="C384" s="132">
        <v>23431.5</v>
      </c>
      <c r="D384" s="135">
        <f t="shared" si="5"/>
        <v>-0.0147472419606085</v>
      </c>
    </row>
    <row r="385" ht="14.25" customHeight="1" spans="2:4">
      <c r="B385" s="137">
        <v>45666</v>
      </c>
      <c r="C385" s="132">
        <v>23526.5</v>
      </c>
      <c r="D385" s="135">
        <f t="shared" si="5"/>
        <v>-0.00403799970246321</v>
      </c>
    </row>
    <row r="386" ht="14.25" customHeight="1" spans="2:4">
      <c r="B386" s="137">
        <v>45665</v>
      </c>
      <c r="C386" s="132">
        <v>23688.95</v>
      </c>
      <c r="D386" s="135">
        <f t="shared" si="5"/>
        <v>-0.00685762771249887</v>
      </c>
    </row>
    <row r="387" ht="14.25" customHeight="1" spans="2:4">
      <c r="B387" s="137">
        <v>45664</v>
      </c>
      <c r="C387" s="132">
        <v>23707.9</v>
      </c>
      <c r="D387" s="135">
        <f t="shared" si="5"/>
        <v>-0.000799311621864418</v>
      </c>
    </row>
    <row r="388" ht="14.25" customHeight="1" spans="2:4">
      <c r="B388" s="137">
        <v>45663</v>
      </c>
      <c r="C388" s="132">
        <v>23616.05</v>
      </c>
      <c r="D388" s="135">
        <f t="shared" si="5"/>
        <v>0.00388930409615496</v>
      </c>
    </row>
    <row r="389" ht="14.25" customHeight="1" spans="2:4">
      <c r="B389" s="137">
        <v>45660</v>
      </c>
      <c r="C389" s="132">
        <v>24004.75</v>
      </c>
      <c r="D389" s="135">
        <f t="shared" si="5"/>
        <v>-0.0161926285422677</v>
      </c>
    </row>
    <row r="390" ht="14.25" customHeight="1" spans="2:4">
      <c r="B390" s="137">
        <v>45659</v>
      </c>
      <c r="C390" s="132">
        <v>24188.65</v>
      </c>
      <c r="D390" s="135">
        <f t="shared" si="5"/>
        <v>-0.00760273930128397</v>
      </c>
    </row>
    <row r="391" ht="14.25" customHeight="1" spans="2:4">
      <c r="B391" s="137">
        <v>45658</v>
      </c>
      <c r="C391" s="132">
        <v>23742.9</v>
      </c>
      <c r="D391" s="135">
        <f t="shared" si="5"/>
        <v>0.0187740335005413</v>
      </c>
    </row>
    <row r="392" ht="14.25" customHeight="1" spans="2:4">
      <c r="B392" s="137">
        <v>45657</v>
      </c>
      <c r="C392" s="132">
        <v>23644.8</v>
      </c>
      <c r="D392" s="135">
        <f t="shared" si="5"/>
        <v>0.00414890377588306</v>
      </c>
    </row>
    <row r="393" ht="14.25" customHeight="1" spans="2:4">
      <c r="B393" s="137">
        <v>45656</v>
      </c>
      <c r="C393" s="132">
        <v>23644.9</v>
      </c>
      <c r="D393" s="135">
        <f t="shared" ref="D393:D456" si="6">C392/C393-1</f>
        <v>-4.22924182386097e-6</v>
      </c>
    </row>
    <row r="394" ht="14.25" customHeight="1" spans="2:4">
      <c r="B394" s="137">
        <v>45653</v>
      </c>
      <c r="C394" s="132">
        <v>23813.4</v>
      </c>
      <c r="D394" s="135">
        <f t="shared" si="6"/>
        <v>-0.00707584805193717</v>
      </c>
    </row>
    <row r="395" ht="14.25" customHeight="1" spans="2:4">
      <c r="B395" s="137">
        <v>45652</v>
      </c>
      <c r="C395" s="132">
        <v>23750.2</v>
      </c>
      <c r="D395" s="135">
        <f t="shared" si="6"/>
        <v>0.00266103022290332</v>
      </c>
    </row>
    <row r="396" ht="14.25" customHeight="1" spans="2:4">
      <c r="B396" s="137">
        <v>45650</v>
      </c>
      <c r="C396" s="132">
        <v>23727.65</v>
      </c>
      <c r="D396" s="135">
        <f t="shared" si="6"/>
        <v>0.000950368030546711</v>
      </c>
    </row>
    <row r="397" ht="14.25" customHeight="1" spans="2:4">
      <c r="B397" s="137">
        <v>45649</v>
      </c>
      <c r="C397" s="132">
        <v>23753.45</v>
      </c>
      <c r="D397" s="135">
        <f t="shared" si="6"/>
        <v>-0.00108615801073109</v>
      </c>
    </row>
    <row r="398" ht="14.25" customHeight="1" spans="2:4">
      <c r="B398" s="137">
        <v>45646</v>
      </c>
      <c r="C398" s="132">
        <v>23587.5</v>
      </c>
      <c r="D398" s="135">
        <f t="shared" si="6"/>
        <v>0.00703550609432968</v>
      </c>
    </row>
    <row r="399" ht="14.25" customHeight="1" spans="2:4">
      <c r="B399" s="137">
        <v>45645</v>
      </c>
      <c r="C399" s="132">
        <v>23951.7</v>
      </c>
      <c r="D399" s="135">
        <f t="shared" si="6"/>
        <v>-0.0152056012725611</v>
      </c>
    </row>
    <row r="400" ht="14.25" customHeight="1" spans="2:4">
      <c r="B400" s="137">
        <v>45644</v>
      </c>
      <c r="C400" s="132">
        <v>24198.85</v>
      </c>
      <c r="D400" s="135">
        <f t="shared" si="6"/>
        <v>-0.0102132952598987</v>
      </c>
    </row>
    <row r="401" ht="14.25" customHeight="1" spans="2:4">
      <c r="B401" s="137">
        <v>45643</v>
      </c>
      <c r="C401" s="132">
        <v>24336</v>
      </c>
      <c r="D401" s="135">
        <f t="shared" si="6"/>
        <v>-0.0056356837606838</v>
      </c>
    </row>
    <row r="402" ht="14.25" customHeight="1" spans="2:4">
      <c r="B402" s="137">
        <v>45642</v>
      </c>
      <c r="C402" s="132">
        <v>24668.25</v>
      </c>
      <c r="D402" s="135">
        <f t="shared" si="6"/>
        <v>-0.0134687300477334</v>
      </c>
    </row>
    <row r="403" ht="14.25" customHeight="1" spans="2:4">
      <c r="B403" s="137">
        <v>45639</v>
      </c>
      <c r="C403" s="132">
        <v>24768.3</v>
      </c>
      <c r="D403" s="135">
        <f t="shared" si="6"/>
        <v>-0.00403943750681313</v>
      </c>
    </row>
    <row r="404" ht="14.25" customHeight="1" spans="2:4">
      <c r="B404" s="137">
        <v>45638</v>
      </c>
      <c r="C404" s="132">
        <v>24548.7</v>
      </c>
      <c r="D404" s="135">
        <f t="shared" si="6"/>
        <v>0.0089454838749099</v>
      </c>
    </row>
    <row r="405" ht="14.25" customHeight="1" spans="2:4">
      <c r="B405" s="137">
        <v>45637</v>
      </c>
      <c r="C405" s="132">
        <v>24641.8</v>
      </c>
      <c r="D405" s="135">
        <f t="shared" si="6"/>
        <v>-0.00377813309092678</v>
      </c>
    </row>
    <row r="406" ht="14.25" customHeight="1" spans="2:4">
      <c r="B406" s="137">
        <v>45636</v>
      </c>
      <c r="C406" s="132">
        <v>24610.05</v>
      </c>
      <c r="D406" s="135">
        <f t="shared" si="6"/>
        <v>0.00129012334391843</v>
      </c>
    </row>
    <row r="407" ht="14.25" customHeight="1" spans="2:4">
      <c r="B407" s="137">
        <v>45635</v>
      </c>
      <c r="C407" s="132">
        <v>24619</v>
      </c>
      <c r="D407" s="135">
        <f t="shared" si="6"/>
        <v>-0.000363540355010405</v>
      </c>
    </row>
    <row r="408" ht="14.25" customHeight="1" spans="2:4">
      <c r="B408" s="137">
        <v>45632</v>
      </c>
      <c r="C408" s="132">
        <v>24677.8</v>
      </c>
      <c r="D408" s="135">
        <f t="shared" si="6"/>
        <v>-0.00238270834515231</v>
      </c>
    </row>
    <row r="409" ht="14.25" customHeight="1" spans="2:4">
      <c r="B409" s="137">
        <v>45631</v>
      </c>
      <c r="C409" s="132">
        <v>24708.4</v>
      </c>
      <c r="D409" s="135">
        <f t="shared" si="6"/>
        <v>-0.00123844522510574</v>
      </c>
    </row>
    <row r="410" ht="14.25" customHeight="1" spans="2:4">
      <c r="B410" s="137">
        <v>45630</v>
      </c>
      <c r="C410" s="132">
        <v>24467.45</v>
      </c>
      <c r="D410" s="135">
        <f t="shared" si="6"/>
        <v>0.00984777735317732</v>
      </c>
    </row>
    <row r="411" ht="14.25" customHeight="1" spans="2:4">
      <c r="B411" s="137">
        <v>45629</v>
      </c>
      <c r="C411" s="132">
        <v>24457.15</v>
      </c>
      <c r="D411" s="135">
        <f t="shared" si="6"/>
        <v>0.000421144736815204</v>
      </c>
    </row>
    <row r="412" ht="14.25" customHeight="1" spans="2:4">
      <c r="B412" s="137">
        <v>45628</v>
      </c>
      <c r="C412" s="132">
        <v>24276.05</v>
      </c>
      <c r="D412" s="135">
        <f t="shared" si="6"/>
        <v>0.00746002747563956</v>
      </c>
    </row>
    <row r="413" ht="14.25" customHeight="1" spans="2:4">
      <c r="B413" s="137">
        <v>45625</v>
      </c>
      <c r="C413" s="132">
        <v>24131.1</v>
      </c>
      <c r="D413" s="135">
        <f t="shared" si="6"/>
        <v>0.00600677134486216</v>
      </c>
    </row>
    <row r="414" ht="14.25" customHeight="1" spans="2:4">
      <c r="B414" s="137">
        <v>45624</v>
      </c>
      <c r="C414" s="132">
        <v>23914.15</v>
      </c>
      <c r="D414" s="135">
        <f t="shared" si="6"/>
        <v>0.00907203475766427</v>
      </c>
    </row>
    <row r="415" ht="14.25" customHeight="1" spans="2:4">
      <c r="B415" s="137">
        <v>45623</v>
      </c>
      <c r="C415" s="132">
        <v>24274.9</v>
      </c>
      <c r="D415" s="135">
        <f t="shared" si="6"/>
        <v>-0.0148610292936325</v>
      </c>
    </row>
    <row r="416" ht="14.25" customHeight="1" spans="2:4">
      <c r="B416" s="137">
        <v>45622</v>
      </c>
      <c r="C416" s="132">
        <v>24194.5</v>
      </c>
      <c r="D416" s="135">
        <f t="shared" si="6"/>
        <v>0.00332306929260784</v>
      </c>
    </row>
    <row r="417" ht="14.25" customHeight="1" spans="2:4">
      <c r="B417" s="137">
        <v>45621</v>
      </c>
      <c r="C417" s="132">
        <v>24221.9</v>
      </c>
      <c r="D417" s="135">
        <f t="shared" si="6"/>
        <v>-0.00113120770872643</v>
      </c>
    </row>
    <row r="418" ht="14.25" customHeight="1" spans="2:4">
      <c r="B418" s="137">
        <v>45618</v>
      </c>
      <c r="C418" s="132">
        <v>23907.25</v>
      </c>
      <c r="D418" s="135">
        <f t="shared" si="6"/>
        <v>0.0131612795281766</v>
      </c>
    </row>
    <row r="419" ht="14.25" customHeight="1" spans="2:4">
      <c r="B419" s="137">
        <v>45617</v>
      </c>
      <c r="C419" s="132">
        <v>23349.9</v>
      </c>
      <c r="D419" s="135">
        <f t="shared" si="6"/>
        <v>0.0238694812397482</v>
      </c>
    </row>
    <row r="420" ht="14.25" customHeight="1" spans="2:4">
      <c r="B420" s="137">
        <v>45615</v>
      </c>
      <c r="C420" s="132">
        <v>23518.5</v>
      </c>
      <c r="D420" s="135">
        <f t="shared" si="6"/>
        <v>-0.00716882454238144</v>
      </c>
    </row>
    <row r="421" ht="14.25" customHeight="1" spans="2:4">
      <c r="B421" s="137">
        <v>45614</v>
      </c>
      <c r="C421" s="132">
        <v>23453.8</v>
      </c>
      <c r="D421" s="135">
        <f t="shared" si="6"/>
        <v>0.00275861480868778</v>
      </c>
    </row>
    <row r="422" ht="14.25" customHeight="1" spans="2:4">
      <c r="B422" s="137">
        <v>45610</v>
      </c>
      <c r="C422" s="132">
        <v>23532.7</v>
      </c>
      <c r="D422" s="135">
        <f t="shared" si="6"/>
        <v>-0.00335278144879259</v>
      </c>
    </row>
    <row r="423" ht="14.25" customHeight="1" spans="2:4">
      <c r="B423" s="137">
        <v>45609</v>
      </c>
      <c r="C423" s="132">
        <v>23559.05</v>
      </c>
      <c r="D423" s="135">
        <f t="shared" si="6"/>
        <v>-0.00111846615207312</v>
      </c>
    </row>
    <row r="424" ht="14.25" customHeight="1" spans="2:4">
      <c r="B424" s="137">
        <v>45608</v>
      </c>
      <c r="C424" s="132">
        <v>23883.45</v>
      </c>
      <c r="D424" s="135">
        <f t="shared" si="6"/>
        <v>-0.0135826273004948</v>
      </c>
    </row>
    <row r="425" ht="14.25" customHeight="1" spans="2:4">
      <c r="B425" s="137">
        <v>45607</v>
      </c>
      <c r="C425" s="132">
        <v>24141.3</v>
      </c>
      <c r="D425" s="135">
        <f t="shared" si="6"/>
        <v>-0.0106808663990754</v>
      </c>
    </row>
    <row r="426" ht="14.25" customHeight="1" spans="2:4">
      <c r="B426" s="137">
        <v>45604</v>
      </c>
      <c r="C426" s="132">
        <v>24148.2</v>
      </c>
      <c r="D426" s="135">
        <f t="shared" si="6"/>
        <v>-0.000285735582776447</v>
      </c>
    </row>
    <row r="427" ht="14.25" customHeight="1" spans="2:4">
      <c r="B427" s="137">
        <v>45603</v>
      </c>
      <c r="C427" s="132">
        <v>24199.35</v>
      </c>
      <c r="D427" s="135">
        <f t="shared" si="6"/>
        <v>-0.00211369313638576</v>
      </c>
    </row>
    <row r="428" ht="14.25" customHeight="1" spans="2:4">
      <c r="B428" s="137">
        <v>45602</v>
      </c>
      <c r="C428" s="132">
        <v>24484.05</v>
      </c>
      <c r="D428" s="135">
        <f t="shared" si="6"/>
        <v>-0.0116279782143885</v>
      </c>
    </row>
    <row r="429" ht="14.25" customHeight="1" spans="2:4">
      <c r="B429" s="137">
        <v>45601</v>
      </c>
      <c r="C429" s="132">
        <v>24213.3</v>
      </c>
      <c r="D429" s="135">
        <f t="shared" si="6"/>
        <v>0.0111818711204172</v>
      </c>
    </row>
    <row r="430" ht="14.25" customHeight="1" spans="2:4">
      <c r="B430" s="137">
        <v>45600</v>
      </c>
      <c r="C430" s="132">
        <v>23995.35</v>
      </c>
      <c r="D430" s="135">
        <f t="shared" si="6"/>
        <v>0.00908300983315513</v>
      </c>
    </row>
    <row r="431" ht="14.25" customHeight="1" spans="2:4">
      <c r="B431" s="137">
        <v>45597</v>
      </c>
      <c r="C431" s="132">
        <v>24304.35</v>
      </c>
      <c r="D431" s="135">
        <f t="shared" si="6"/>
        <v>-0.0127137734603064</v>
      </c>
    </row>
    <row r="432" ht="14.25" customHeight="1" spans="2:4">
      <c r="B432" s="137">
        <v>45596</v>
      </c>
      <c r="C432" s="132">
        <v>24205.35</v>
      </c>
      <c r="D432" s="135">
        <f t="shared" si="6"/>
        <v>0.00409000489561184</v>
      </c>
    </row>
    <row r="433" ht="14.25" customHeight="1" spans="2:4">
      <c r="B433" s="137">
        <v>45595</v>
      </c>
      <c r="C433" s="132">
        <v>24340.85</v>
      </c>
      <c r="D433" s="135">
        <f t="shared" si="6"/>
        <v>-0.00556677355145774</v>
      </c>
    </row>
    <row r="434" ht="14.25" customHeight="1" spans="2:4">
      <c r="B434" s="137">
        <v>45594</v>
      </c>
      <c r="C434" s="132">
        <v>24466.85</v>
      </c>
      <c r="D434" s="135">
        <f t="shared" si="6"/>
        <v>-0.00514982517160978</v>
      </c>
    </row>
    <row r="435" ht="14.25" customHeight="1" spans="2:4">
      <c r="B435" s="137">
        <v>45593</v>
      </c>
      <c r="C435" s="132">
        <v>24339.15</v>
      </c>
      <c r="D435" s="135">
        <f t="shared" si="6"/>
        <v>0.00524669103070563</v>
      </c>
    </row>
    <row r="436" ht="14.25" customHeight="1" spans="2:4">
      <c r="B436" s="137">
        <v>45590</v>
      </c>
      <c r="C436" s="132">
        <v>24180.8</v>
      </c>
      <c r="D436" s="135">
        <f t="shared" si="6"/>
        <v>0.00654858400052949</v>
      </c>
    </row>
    <row r="437" ht="14.25" customHeight="1" spans="2:4">
      <c r="B437" s="137">
        <v>45589</v>
      </c>
      <c r="C437" s="132">
        <v>24399.4</v>
      </c>
      <c r="D437" s="135">
        <f t="shared" si="6"/>
        <v>-0.00895923670254195</v>
      </c>
    </row>
    <row r="438" ht="14.25" customHeight="1" spans="2:4">
      <c r="B438" s="137">
        <v>45588</v>
      </c>
      <c r="C438" s="132">
        <v>24435.5</v>
      </c>
      <c r="D438" s="135">
        <f t="shared" si="6"/>
        <v>-0.00147735876081923</v>
      </c>
    </row>
    <row r="439" ht="14.25" customHeight="1" spans="2:4">
      <c r="B439" s="137">
        <v>45587</v>
      </c>
      <c r="C439" s="132">
        <v>24472.1</v>
      </c>
      <c r="D439" s="135">
        <f t="shared" si="6"/>
        <v>-0.00149558068167421</v>
      </c>
    </row>
    <row r="440" ht="14.25" customHeight="1" spans="2:4">
      <c r="B440" s="137">
        <v>45586</v>
      </c>
      <c r="C440" s="132">
        <v>24781.1</v>
      </c>
      <c r="D440" s="135">
        <f t="shared" si="6"/>
        <v>-0.0124691801413174</v>
      </c>
    </row>
    <row r="441" ht="14.25" customHeight="1" spans="2:4">
      <c r="B441" s="137">
        <v>45583</v>
      </c>
      <c r="C441" s="132">
        <v>24854.05</v>
      </c>
      <c r="D441" s="135">
        <f t="shared" si="6"/>
        <v>-0.00293513531999823</v>
      </c>
    </row>
    <row r="442" ht="14.25" customHeight="1" spans="2:4">
      <c r="B442" s="137">
        <v>45582</v>
      </c>
      <c r="C442" s="132">
        <v>24749.85</v>
      </c>
      <c r="D442" s="135">
        <f t="shared" si="6"/>
        <v>0.00421012652601949</v>
      </c>
    </row>
    <row r="443" ht="14.25" customHeight="1" spans="2:4">
      <c r="B443" s="137">
        <v>45581</v>
      </c>
      <c r="C443" s="132">
        <v>24971.3</v>
      </c>
      <c r="D443" s="135">
        <f t="shared" si="6"/>
        <v>-0.00886818067141082</v>
      </c>
    </row>
    <row r="444" ht="14.25" customHeight="1" spans="2:4">
      <c r="B444" s="137">
        <v>45580</v>
      </c>
      <c r="C444" s="132">
        <v>25057.35</v>
      </c>
      <c r="D444" s="135">
        <f t="shared" si="6"/>
        <v>-0.00343412212384786</v>
      </c>
    </row>
    <row r="445" ht="14.25" customHeight="1" spans="2:4">
      <c r="B445" s="137">
        <v>45579</v>
      </c>
      <c r="C445" s="132">
        <v>25127.95</v>
      </c>
      <c r="D445" s="135">
        <f t="shared" si="6"/>
        <v>-0.00280962036298238</v>
      </c>
    </row>
    <row r="446" ht="14.25" customHeight="1" spans="2:4">
      <c r="B446" s="137">
        <v>45576</v>
      </c>
      <c r="C446" s="132">
        <v>24964.25</v>
      </c>
      <c r="D446" s="135">
        <f t="shared" si="6"/>
        <v>0.00655737704918025</v>
      </c>
    </row>
    <row r="447" ht="14.25" customHeight="1" spans="2:4">
      <c r="B447" s="137">
        <v>45575</v>
      </c>
      <c r="C447" s="132">
        <v>24998.45</v>
      </c>
      <c r="D447" s="135">
        <f t="shared" si="6"/>
        <v>-0.00136808482125894</v>
      </c>
    </row>
    <row r="448" ht="14.25" customHeight="1" spans="2:4">
      <c r="B448" s="137">
        <v>45574</v>
      </c>
      <c r="C448" s="132">
        <v>24981.95</v>
      </c>
      <c r="D448" s="135">
        <f t="shared" si="6"/>
        <v>0.000660476864295934</v>
      </c>
    </row>
    <row r="449" ht="14.25" customHeight="1" spans="2:4">
      <c r="B449" s="137">
        <v>45573</v>
      </c>
      <c r="C449" s="132">
        <v>25013.15</v>
      </c>
      <c r="D449" s="135">
        <f t="shared" si="6"/>
        <v>-0.00124734389711012</v>
      </c>
    </row>
    <row r="450" ht="14.25" customHeight="1" spans="2:4">
      <c r="B450" s="137">
        <v>45572</v>
      </c>
      <c r="C450" s="132">
        <v>24795.75</v>
      </c>
      <c r="D450" s="135">
        <f t="shared" si="6"/>
        <v>0.00876763154976157</v>
      </c>
    </row>
    <row r="451" ht="14.25" customHeight="1" spans="2:4">
      <c r="B451" s="137">
        <v>45569</v>
      </c>
      <c r="C451" s="132">
        <v>25014.6</v>
      </c>
      <c r="D451" s="135">
        <f t="shared" si="6"/>
        <v>-0.00874889064786155</v>
      </c>
    </row>
    <row r="452" ht="14.25" customHeight="1" spans="2:4">
      <c r="B452" s="137">
        <v>45568</v>
      </c>
      <c r="C452" s="132">
        <v>25250.1</v>
      </c>
      <c r="D452" s="135">
        <f t="shared" si="6"/>
        <v>-0.00932669573585843</v>
      </c>
    </row>
    <row r="453" ht="14.25" customHeight="1" spans="2:4">
      <c r="B453" s="137">
        <v>45566</v>
      </c>
      <c r="C453" s="132">
        <v>25796.9</v>
      </c>
      <c r="D453" s="135">
        <f t="shared" si="6"/>
        <v>-0.0211963452973033</v>
      </c>
    </row>
    <row r="454" ht="14.25" customHeight="1" spans="2:4">
      <c r="B454" s="137">
        <v>45565</v>
      </c>
      <c r="C454" s="132">
        <v>25810.85</v>
      </c>
      <c r="D454" s="135">
        <f t="shared" si="6"/>
        <v>-0.00054047038357885</v>
      </c>
    </row>
    <row r="455" ht="14.25" customHeight="1" spans="2:4">
      <c r="B455" s="137">
        <v>45562</v>
      </c>
      <c r="C455" s="132">
        <v>26178.95</v>
      </c>
      <c r="D455" s="135">
        <f t="shared" si="6"/>
        <v>-0.014060915353748</v>
      </c>
    </row>
    <row r="456" ht="14.25" customHeight="1" spans="2:4">
      <c r="B456" s="137">
        <v>45561</v>
      </c>
      <c r="C456" s="132">
        <v>26216.05</v>
      </c>
      <c r="D456" s="135">
        <f t="shared" si="6"/>
        <v>-0.00141516361160432</v>
      </c>
    </row>
    <row r="457" ht="14.25" customHeight="1" spans="2:4">
      <c r="B457" s="137">
        <v>45560</v>
      </c>
      <c r="C457" s="132">
        <v>26004.15</v>
      </c>
      <c r="D457" s="135">
        <f t="shared" ref="D457:D520" si="7">C456/C457-1</f>
        <v>0.0081486993422204</v>
      </c>
    </row>
    <row r="458" ht="14.25" customHeight="1" spans="2:4">
      <c r="B458" s="137">
        <v>45559</v>
      </c>
      <c r="C458" s="132">
        <v>25940.4</v>
      </c>
      <c r="D458" s="135">
        <f t="shared" si="7"/>
        <v>0.00245755655271318</v>
      </c>
    </row>
    <row r="459" ht="14.25" customHeight="1" spans="2:4">
      <c r="B459" s="137">
        <v>45558</v>
      </c>
      <c r="C459" s="132">
        <v>25939.05</v>
      </c>
      <c r="D459" s="135">
        <f t="shared" si="7"/>
        <v>5.20450826071439e-5</v>
      </c>
    </row>
    <row r="460" ht="14.25" customHeight="1" spans="2:4">
      <c r="B460" s="137">
        <v>45555</v>
      </c>
      <c r="C460" s="132">
        <v>25790.95</v>
      </c>
      <c r="D460" s="135">
        <f t="shared" si="7"/>
        <v>0.00574232434245348</v>
      </c>
    </row>
    <row r="461" ht="14.25" customHeight="1" spans="2:4">
      <c r="B461" s="137">
        <v>45554</v>
      </c>
      <c r="C461" s="132">
        <v>25415.8</v>
      </c>
      <c r="D461" s="135">
        <f t="shared" si="7"/>
        <v>0.0147605033089653</v>
      </c>
    </row>
    <row r="462" ht="14.25" customHeight="1" spans="2:4">
      <c r="B462" s="137">
        <v>45553</v>
      </c>
      <c r="C462" s="132">
        <v>25377.55</v>
      </c>
      <c r="D462" s="135">
        <f t="shared" si="7"/>
        <v>0.00150723769631034</v>
      </c>
    </row>
    <row r="463" ht="14.25" customHeight="1" spans="2:4">
      <c r="B463" s="137">
        <v>45552</v>
      </c>
      <c r="C463" s="132">
        <v>25418.55</v>
      </c>
      <c r="D463" s="135">
        <f t="shared" si="7"/>
        <v>-0.00161299523379577</v>
      </c>
    </row>
    <row r="464" ht="14.25" customHeight="1" spans="2:4">
      <c r="B464" s="137">
        <v>45551</v>
      </c>
      <c r="C464" s="132">
        <v>25383.75</v>
      </c>
      <c r="D464" s="135">
        <f t="shared" si="7"/>
        <v>0.00137095582803948</v>
      </c>
    </row>
    <row r="465" ht="14.25" customHeight="1" spans="2:4">
      <c r="B465" s="137">
        <v>45548</v>
      </c>
      <c r="C465" s="132">
        <v>25356.5</v>
      </c>
      <c r="D465" s="135">
        <f t="shared" si="7"/>
        <v>0.00107467513260895</v>
      </c>
    </row>
    <row r="466" ht="14.25" customHeight="1" spans="2:4">
      <c r="B466" s="137">
        <v>45547</v>
      </c>
      <c r="C466" s="132">
        <v>25388.9</v>
      </c>
      <c r="D466" s="135">
        <f t="shared" si="7"/>
        <v>-0.00127614823800959</v>
      </c>
    </row>
    <row r="467" ht="14.25" customHeight="1" spans="2:4">
      <c r="B467" s="137">
        <v>45546</v>
      </c>
      <c r="C467" s="132">
        <v>24918.45</v>
      </c>
      <c r="D467" s="135">
        <f t="shared" si="7"/>
        <v>0.018879585206945</v>
      </c>
    </row>
    <row r="468" ht="14.25" customHeight="1" spans="2:4">
      <c r="B468" s="137">
        <v>45545</v>
      </c>
      <c r="C468" s="132">
        <v>25041.1</v>
      </c>
      <c r="D468" s="135">
        <f t="shared" si="7"/>
        <v>-0.00489794777385966</v>
      </c>
    </row>
    <row r="469" ht="14.25" customHeight="1" spans="2:4">
      <c r="B469" s="137">
        <v>45544</v>
      </c>
      <c r="C469" s="132">
        <v>24936.4</v>
      </c>
      <c r="D469" s="135">
        <f t="shared" si="7"/>
        <v>0.00419868144559743</v>
      </c>
    </row>
    <row r="470" ht="14.25" customHeight="1" spans="2:4">
      <c r="B470" s="137">
        <v>45541</v>
      </c>
      <c r="C470" s="132">
        <v>24852.15</v>
      </c>
      <c r="D470" s="135">
        <f t="shared" si="7"/>
        <v>0.0033900487482974</v>
      </c>
    </row>
    <row r="471" ht="14.25" customHeight="1" spans="2:4">
      <c r="B471" s="137">
        <v>45540</v>
      </c>
      <c r="C471" s="132">
        <v>25145.1</v>
      </c>
      <c r="D471" s="135">
        <f t="shared" si="7"/>
        <v>-0.0116503811875871</v>
      </c>
    </row>
    <row r="472" ht="14.25" customHeight="1" spans="2:4">
      <c r="B472" s="137">
        <v>45539</v>
      </c>
      <c r="C472" s="132">
        <v>25198.7</v>
      </c>
      <c r="D472" s="135">
        <f t="shared" si="7"/>
        <v>-0.00212709385801657</v>
      </c>
    </row>
    <row r="473" ht="14.25" customHeight="1" spans="2:4">
      <c r="B473" s="137">
        <v>45538</v>
      </c>
      <c r="C473" s="132">
        <v>25279.85</v>
      </c>
      <c r="D473" s="135">
        <f t="shared" si="7"/>
        <v>-0.00321006651542621</v>
      </c>
    </row>
    <row r="474" ht="14.25" customHeight="1" spans="2:4">
      <c r="B474" s="137">
        <v>45537</v>
      </c>
      <c r="C474" s="132">
        <v>25278.7</v>
      </c>
      <c r="D474" s="135">
        <f t="shared" si="7"/>
        <v>4.54928457553905e-5</v>
      </c>
    </row>
    <row r="475" ht="14.25" customHeight="1" spans="2:4">
      <c r="B475" s="137">
        <v>45534</v>
      </c>
      <c r="C475" s="132">
        <v>25235.9</v>
      </c>
      <c r="D475" s="135">
        <f t="shared" si="7"/>
        <v>0.00169599657630592</v>
      </c>
    </row>
    <row r="476" ht="14.25" customHeight="1" spans="2:4">
      <c r="B476" s="137">
        <v>45533</v>
      </c>
      <c r="C476" s="132">
        <v>25151.95</v>
      </c>
      <c r="D476" s="135">
        <f t="shared" si="7"/>
        <v>0.00333771337808808</v>
      </c>
    </row>
    <row r="477" ht="14.25" customHeight="1" spans="2:4">
      <c r="B477" s="137">
        <v>45532</v>
      </c>
      <c r="C477" s="132">
        <v>25052.35</v>
      </c>
      <c r="D477" s="135">
        <f t="shared" si="7"/>
        <v>0.0039756749366826</v>
      </c>
    </row>
    <row r="478" ht="14.25" customHeight="1" spans="2:4">
      <c r="B478" s="137">
        <v>45531</v>
      </c>
      <c r="C478" s="132">
        <v>25017.75</v>
      </c>
      <c r="D478" s="135">
        <f t="shared" si="7"/>
        <v>0.00138301805717944</v>
      </c>
    </row>
    <row r="479" ht="14.25" customHeight="1" spans="2:4">
      <c r="B479" s="137">
        <v>45530</v>
      </c>
      <c r="C479" s="132">
        <v>25010.6</v>
      </c>
      <c r="D479" s="135">
        <f t="shared" si="7"/>
        <v>0.000285878787394278</v>
      </c>
    </row>
    <row r="480" ht="14.25" customHeight="1" spans="2:4">
      <c r="B480" s="137">
        <v>45527</v>
      </c>
      <c r="C480" s="132">
        <v>24823.15</v>
      </c>
      <c r="D480" s="135">
        <f t="shared" si="7"/>
        <v>0.0075514187361394</v>
      </c>
    </row>
    <row r="481" ht="14.25" customHeight="1" spans="2:4">
      <c r="B481" s="137">
        <v>45526</v>
      </c>
      <c r="C481" s="132">
        <v>24811.5</v>
      </c>
      <c r="D481" s="135">
        <f t="shared" si="7"/>
        <v>0.000469540334119278</v>
      </c>
    </row>
    <row r="482" ht="14.25" customHeight="1" spans="2:4">
      <c r="B482" s="137">
        <v>45525</v>
      </c>
      <c r="C482" s="132">
        <v>24770.2</v>
      </c>
      <c r="D482" s="135">
        <f t="shared" si="7"/>
        <v>0.00166732606115416</v>
      </c>
    </row>
    <row r="483" ht="14.25" customHeight="1" spans="2:4">
      <c r="B483" s="137">
        <v>45524</v>
      </c>
      <c r="C483" s="132">
        <v>24698.85</v>
      </c>
      <c r="D483" s="135">
        <f t="shared" si="7"/>
        <v>0.0028887984663255</v>
      </c>
    </row>
    <row r="484" ht="14.25" customHeight="1" spans="2:4">
      <c r="B484" s="137">
        <v>45523</v>
      </c>
      <c r="C484" s="132">
        <v>24572.65</v>
      </c>
      <c r="D484" s="135">
        <f t="shared" si="7"/>
        <v>0.00513579121502961</v>
      </c>
    </row>
    <row r="485" ht="14.25" customHeight="1" spans="2:4">
      <c r="B485" s="137">
        <v>45520</v>
      </c>
      <c r="C485" s="132">
        <v>24541.15</v>
      </c>
      <c r="D485" s="135">
        <f t="shared" si="7"/>
        <v>0.00128355843145078</v>
      </c>
    </row>
    <row r="486" ht="14.25" customHeight="1" spans="2:4">
      <c r="B486" s="137">
        <v>45518</v>
      </c>
      <c r="C486" s="132">
        <v>24143.75</v>
      </c>
      <c r="D486" s="135">
        <f t="shared" si="7"/>
        <v>0.0164597463111571</v>
      </c>
    </row>
    <row r="487" ht="14.25" customHeight="1" spans="2:4">
      <c r="B487" s="137">
        <v>45517</v>
      </c>
      <c r="C487" s="132">
        <v>24139</v>
      </c>
      <c r="D487" s="135">
        <f t="shared" si="7"/>
        <v>0.000196776999875636</v>
      </c>
    </row>
    <row r="488" ht="14.25" customHeight="1" spans="2:4">
      <c r="B488" s="137">
        <v>45516</v>
      </c>
      <c r="C488" s="132">
        <v>24347</v>
      </c>
      <c r="D488" s="135">
        <f t="shared" si="7"/>
        <v>-0.00854314699963032</v>
      </c>
    </row>
    <row r="489" ht="14.25" customHeight="1" spans="2:4">
      <c r="B489" s="137">
        <v>45513</v>
      </c>
      <c r="C489" s="132">
        <v>24367.5</v>
      </c>
      <c r="D489" s="135">
        <f t="shared" si="7"/>
        <v>-0.000841284497794192</v>
      </c>
    </row>
    <row r="490" ht="14.25" customHeight="1" spans="2:4">
      <c r="B490" s="137">
        <v>45512</v>
      </c>
      <c r="C490" s="132">
        <v>24117</v>
      </c>
      <c r="D490" s="135">
        <f t="shared" si="7"/>
        <v>0.0103868640378157</v>
      </c>
    </row>
    <row r="491" ht="14.25" customHeight="1" spans="2:4">
      <c r="B491" s="137">
        <v>45511</v>
      </c>
      <c r="C491" s="132">
        <v>24297.5</v>
      </c>
      <c r="D491" s="135">
        <f t="shared" si="7"/>
        <v>-0.00742874781356107</v>
      </c>
    </row>
    <row r="492" ht="14.25" customHeight="1" spans="2:4">
      <c r="B492" s="137">
        <v>45510</v>
      </c>
      <c r="C492" s="132">
        <v>23992.55</v>
      </c>
      <c r="D492" s="135">
        <f t="shared" si="7"/>
        <v>0.0127101954565063</v>
      </c>
    </row>
    <row r="493" ht="14.25" customHeight="1" spans="2:4">
      <c r="B493" s="137">
        <v>45509</v>
      </c>
      <c r="C493" s="132">
        <v>24055.6</v>
      </c>
      <c r="D493" s="135">
        <f t="shared" si="7"/>
        <v>-0.00262101132376658</v>
      </c>
    </row>
    <row r="494" ht="14.25" customHeight="1" spans="2:4">
      <c r="B494" s="137">
        <v>45506</v>
      </c>
      <c r="C494" s="132">
        <v>24717.7</v>
      </c>
      <c r="D494" s="135">
        <f t="shared" si="7"/>
        <v>-0.0267864728514385</v>
      </c>
    </row>
    <row r="495" ht="14.25" customHeight="1" spans="2:4">
      <c r="B495" s="137">
        <v>45505</v>
      </c>
      <c r="C495" s="132">
        <v>25010.9</v>
      </c>
      <c r="D495" s="135">
        <f t="shared" si="7"/>
        <v>-0.0117228888204743</v>
      </c>
    </row>
    <row r="496" ht="14.25" customHeight="1" spans="2:4">
      <c r="B496" s="137">
        <v>45504</v>
      </c>
      <c r="C496" s="132">
        <v>24951.15</v>
      </c>
      <c r="D496" s="135">
        <f t="shared" si="7"/>
        <v>0.00239467920316305</v>
      </c>
    </row>
    <row r="497" ht="14.25" customHeight="1" spans="2:4">
      <c r="B497" s="137">
        <v>45503</v>
      </c>
      <c r="C497" s="132">
        <v>24857.3</v>
      </c>
      <c r="D497" s="135">
        <f t="shared" si="7"/>
        <v>0.00377555084421899</v>
      </c>
    </row>
    <row r="498" ht="14.25" customHeight="1" spans="2:4">
      <c r="B498" s="137">
        <v>45502</v>
      </c>
      <c r="C498" s="132">
        <v>24836.1</v>
      </c>
      <c r="D498" s="135">
        <f t="shared" si="7"/>
        <v>0.000853596176533467</v>
      </c>
    </row>
    <row r="499" ht="14.25" customHeight="1" spans="2:4">
      <c r="B499" s="137">
        <v>45499</v>
      </c>
      <c r="C499" s="132">
        <v>24834.85</v>
      </c>
      <c r="D499" s="135">
        <f t="shared" si="7"/>
        <v>5.03324964717944e-5</v>
      </c>
    </row>
    <row r="500" ht="14.25" customHeight="1" spans="2:4">
      <c r="B500" s="137">
        <v>45498</v>
      </c>
      <c r="C500" s="132">
        <v>24406.1</v>
      </c>
      <c r="D500" s="135">
        <f t="shared" si="7"/>
        <v>0.0175673294791057</v>
      </c>
    </row>
    <row r="501" ht="14.25" customHeight="1" spans="2:4">
      <c r="B501" s="137">
        <v>45497</v>
      </c>
      <c r="C501" s="132">
        <v>24413.5</v>
      </c>
      <c r="D501" s="135">
        <f t="shared" si="7"/>
        <v>-0.00030311098367708</v>
      </c>
    </row>
    <row r="502" ht="14.25" customHeight="1" spans="2:4">
      <c r="B502" s="137">
        <v>45496</v>
      </c>
      <c r="C502" s="132">
        <v>24479.05</v>
      </c>
      <c r="D502" s="135">
        <f t="shared" si="7"/>
        <v>-0.00267779999632334</v>
      </c>
    </row>
    <row r="503" ht="14.25" customHeight="1" spans="2:4">
      <c r="B503" s="137">
        <v>45495</v>
      </c>
      <c r="C503" s="132">
        <v>24509.25</v>
      </c>
      <c r="D503" s="135">
        <f t="shared" si="7"/>
        <v>-0.00123218784744539</v>
      </c>
    </row>
    <row r="504" ht="14.25" customHeight="1" spans="2:4">
      <c r="B504" s="137">
        <v>45492</v>
      </c>
      <c r="C504" s="132">
        <v>24530.9</v>
      </c>
      <c r="D504" s="135">
        <f t="shared" si="7"/>
        <v>-0.000882560362644669</v>
      </c>
    </row>
    <row r="505" ht="14.25" customHeight="1" spans="2:4">
      <c r="B505" s="137">
        <v>45491</v>
      </c>
      <c r="C505" s="132">
        <v>24800.85</v>
      </c>
      <c r="D505" s="135">
        <f t="shared" si="7"/>
        <v>-0.0108847075805868</v>
      </c>
    </row>
    <row r="506" ht="14.25" customHeight="1" spans="2:4">
      <c r="B506" s="137">
        <v>45489</v>
      </c>
      <c r="C506" s="132">
        <v>24613</v>
      </c>
      <c r="D506" s="135">
        <f t="shared" si="7"/>
        <v>0.00763214561410641</v>
      </c>
    </row>
    <row r="507" ht="14.25" customHeight="1" spans="2:4">
      <c r="B507" s="137">
        <v>45488</v>
      </c>
      <c r="C507" s="132">
        <v>24586.7</v>
      </c>
      <c r="D507" s="135">
        <f t="shared" si="7"/>
        <v>0.00106968401615504</v>
      </c>
    </row>
    <row r="508" ht="14.25" customHeight="1" spans="2:4">
      <c r="B508" s="137">
        <v>45485</v>
      </c>
      <c r="C508" s="132">
        <v>24502.15</v>
      </c>
      <c r="D508" s="135">
        <f t="shared" si="7"/>
        <v>0.00345071759008908</v>
      </c>
    </row>
    <row r="509" ht="14.25" customHeight="1" spans="2:4">
      <c r="B509" s="137">
        <v>45484</v>
      </c>
      <c r="C509" s="132">
        <v>24315.95</v>
      </c>
      <c r="D509" s="135">
        <f t="shared" si="7"/>
        <v>0.00765752520464957</v>
      </c>
    </row>
    <row r="510" ht="14.25" customHeight="1" spans="2:4">
      <c r="B510" s="137">
        <v>45483</v>
      </c>
      <c r="C510" s="132">
        <v>24324.45</v>
      </c>
      <c r="D510" s="135">
        <f t="shared" si="7"/>
        <v>-0.000349442638990838</v>
      </c>
    </row>
    <row r="511" ht="14.25" customHeight="1" spans="2:4">
      <c r="B511" s="137">
        <v>45482</v>
      </c>
      <c r="C511" s="132">
        <v>24433.2</v>
      </c>
      <c r="D511" s="135">
        <f t="shared" si="7"/>
        <v>-0.00445091105544915</v>
      </c>
    </row>
    <row r="512" ht="14.25" customHeight="1" spans="2:4">
      <c r="B512" s="137">
        <v>45481</v>
      </c>
      <c r="C512" s="132">
        <v>24320.55</v>
      </c>
      <c r="D512" s="135">
        <f t="shared" si="7"/>
        <v>0.00463188538088155</v>
      </c>
    </row>
    <row r="513" ht="14.25" customHeight="1" spans="2:4">
      <c r="B513" s="137">
        <v>45478</v>
      </c>
      <c r="C513" s="132">
        <v>24323.85</v>
      </c>
      <c r="D513" s="135">
        <f t="shared" si="7"/>
        <v>-0.000135669312218201</v>
      </c>
    </row>
    <row r="514" ht="14.25" customHeight="1" spans="2:4">
      <c r="B514" s="137">
        <v>45477</v>
      </c>
      <c r="C514" s="132">
        <v>24302.15</v>
      </c>
      <c r="D514" s="135">
        <f t="shared" si="7"/>
        <v>0.000892925111564136</v>
      </c>
    </row>
    <row r="515" ht="14.25" customHeight="1" spans="2:4">
      <c r="B515" s="137">
        <v>45476</v>
      </c>
      <c r="C515" s="132">
        <v>24286.5</v>
      </c>
      <c r="D515" s="135">
        <f t="shared" si="7"/>
        <v>0.000644390916764603</v>
      </c>
    </row>
    <row r="516" ht="14.25" customHeight="1" spans="2:4">
      <c r="B516" s="137">
        <v>45475</v>
      </c>
      <c r="C516" s="132">
        <v>24123.85</v>
      </c>
      <c r="D516" s="135">
        <f t="shared" si="7"/>
        <v>0.00674229030606655</v>
      </c>
    </row>
    <row r="517" ht="14.25" customHeight="1" spans="2:4">
      <c r="B517" s="137">
        <v>45474</v>
      </c>
      <c r="C517" s="132">
        <v>24141.95</v>
      </c>
      <c r="D517" s="135">
        <f t="shared" si="7"/>
        <v>-0.000749732312427254</v>
      </c>
    </row>
    <row r="518" ht="14.25" customHeight="1" spans="2:4">
      <c r="B518" s="137">
        <v>45471</v>
      </c>
      <c r="C518" s="132">
        <v>24010.6</v>
      </c>
      <c r="D518" s="135">
        <f t="shared" si="7"/>
        <v>0.00547050052893305</v>
      </c>
    </row>
    <row r="519" ht="14.25" customHeight="1" spans="2:4">
      <c r="B519" s="137">
        <v>45470</v>
      </c>
      <c r="C519" s="132">
        <v>24044.5</v>
      </c>
      <c r="D519" s="135">
        <f t="shared" si="7"/>
        <v>-0.00140988583667789</v>
      </c>
    </row>
    <row r="520" ht="14.25" customHeight="1" spans="2:4">
      <c r="B520" s="137">
        <v>45469</v>
      </c>
      <c r="C520" s="132">
        <v>23868.8</v>
      </c>
      <c r="D520" s="135">
        <f t="shared" si="7"/>
        <v>0.00736107387049212</v>
      </c>
    </row>
    <row r="521" ht="14.25" customHeight="1" spans="2:4">
      <c r="B521" s="137">
        <v>45468</v>
      </c>
      <c r="C521" s="132">
        <v>23721.3</v>
      </c>
      <c r="D521" s="135">
        <f t="shared" ref="D521:D584" si="8">C520/C521-1</f>
        <v>0.00621804032662632</v>
      </c>
    </row>
    <row r="522" ht="14.25" customHeight="1" spans="2:4">
      <c r="B522" s="137">
        <v>45467</v>
      </c>
      <c r="C522" s="132">
        <v>23537.85</v>
      </c>
      <c r="D522" s="135">
        <f t="shared" si="8"/>
        <v>0.00779382993773869</v>
      </c>
    </row>
    <row r="523" ht="14.25" customHeight="1" spans="2:4">
      <c r="B523" s="137">
        <v>45464</v>
      </c>
      <c r="C523" s="132">
        <v>23501.1</v>
      </c>
      <c r="D523" s="135">
        <f t="shared" si="8"/>
        <v>0.00156375659011698</v>
      </c>
    </row>
    <row r="524" ht="14.25" customHeight="1" spans="2:4">
      <c r="B524" s="137">
        <v>45463</v>
      </c>
      <c r="C524" s="132">
        <v>23567</v>
      </c>
      <c r="D524" s="135">
        <f t="shared" si="8"/>
        <v>-0.0027962829380066</v>
      </c>
    </row>
    <row r="525" ht="14.25" customHeight="1" spans="2:4">
      <c r="B525" s="137">
        <v>45462</v>
      </c>
      <c r="C525" s="132">
        <v>23516</v>
      </c>
      <c r="D525" s="135">
        <f t="shared" si="8"/>
        <v>0.00216873617962232</v>
      </c>
    </row>
    <row r="526" ht="14.25" customHeight="1" spans="2:4">
      <c r="B526" s="137">
        <v>45461</v>
      </c>
      <c r="C526" s="132">
        <v>23557.9</v>
      </c>
      <c r="D526" s="135">
        <f t="shared" si="8"/>
        <v>-0.00177859656420998</v>
      </c>
    </row>
    <row r="527" ht="14.25" customHeight="1" spans="2:4">
      <c r="B527" s="137">
        <v>45457</v>
      </c>
      <c r="C527" s="132">
        <v>23465.6</v>
      </c>
      <c r="D527" s="135">
        <f t="shared" si="8"/>
        <v>0.00393341742806497</v>
      </c>
    </row>
    <row r="528" ht="14.25" customHeight="1" spans="2:4">
      <c r="B528" s="137">
        <v>45456</v>
      </c>
      <c r="C528" s="132">
        <v>23398.9</v>
      </c>
      <c r="D528" s="135">
        <f t="shared" si="8"/>
        <v>0.00285056135117445</v>
      </c>
    </row>
    <row r="529" ht="14.25" customHeight="1" spans="2:4">
      <c r="B529" s="137">
        <v>45455</v>
      </c>
      <c r="C529" s="132">
        <v>23322.95</v>
      </c>
      <c r="D529" s="135">
        <f t="shared" si="8"/>
        <v>0.00325644911985834</v>
      </c>
    </row>
    <row r="530" ht="14.25" customHeight="1" spans="2:4">
      <c r="B530" s="137">
        <v>45454</v>
      </c>
      <c r="C530" s="132">
        <v>23264.85</v>
      </c>
      <c r="D530" s="135">
        <f t="shared" si="8"/>
        <v>0.00249732966255967</v>
      </c>
    </row>
    <row r="531" ht="14.25" customHeight="1" spans="2:4">
      <c r="B531" s="137">
        <v>45453</v>
      </c>
      <c r="C531" s="132">
        <v>23259.2</v>
      </c>
      <c r="D531" s="135">
        <f t="shared" si="8"/>
        <v>0.00024291463162962</v>
      </c>
    </row>
    <row r="532" ht="14.25" customHeight="1" spans="2:4">
      <c r="B532" s="137">
        <v>45450</v>
      </c>
      <c r="C532" s="132">
        <v>23290.15</v>
      </c>
      <c r="D532" s="135">
        <f t="shared" si="8"/>
        <v>-0.0013288879633665</v>
      </c>
    </row>
    <row r="533" ht="14.25" customHeight="1" spans="2:4">
      <c r="B533" s="137">
        <v>45449</v>
      </c>
      <c r="C533" s="132">
        <v>22821.4</v>
      </c>
      <c r="D533" s="135">
        <f t="shared" si="8"/>
        <v>0.020539931818381</v>
      </c>
    </row>
    <row r="534" ht="14.25" customHeight="1" spans="2:4">
      <c r="B534" s="137">
        <v>45448</v>
      </c>
      <c r="C534" s="132">
        <v>22620.35</v>
      </c>
      <c r="D534" s="135">
        <f t="shared" si="8"/>
        <v>0.00888801455326749</v>
      </c>
    </row>
    <row r="535" ht="14.25" customHeight="1" spans="2:4">
      <c r="B535" s="137">
        <v>45447</v>
      </c>
      <c r="C535" s="132">
        <v>21884.5</v>
      </c>
      <c r="D535" s="135">
        <f t="shared" si="8"/>
        <v>0.0336242546094268</v>
      </c>
    </row>
    <row r="536" ht="14.25" customHeight="1" spans="2:4">
      <c r="B536" s="137">
        <v>45446</v>
      </c>
      <c r="C536" s="132">
        <v>23263.9</v>
      </c>
      <c r="D536" s="135">
        <f t="shared" si="8"/>
        <v>-0.059293583620975</v>
      </c>
    </row>
    <row r="537" ht="14.25" customHeight="1" spans="2:4">
      <c r="B537" s="137">
        <v>45443</v>
      </c>
      <c r="C537" s="132">
        <v>22530.7</v>
      </c>
      <c r="D537" s="135">
        <f t="shared" si="8"/>
        <v>0.0325422645545856</v>
      </c>
    </row>
    <row r="538" ht="14.25" customHeight="1" spans="2:4">
      <c r="B538" s="137">
        <v>45442</v>
      </c>
      <c r="C538" s="132">
        <v>22488.65</v>
      </c>
      <c r="D538" s="135">
        <f t="shared" si="8"/>
        <v>0.00186983211531144</v>
      </c>
    </row>
    <row r="539" ht="14.25" customHeight="1" spans="2:4">
      <c r="B539" s="137">
        <v>45441</v>
      </c>
      <c r="C539" s="132">
        <v>22704.7</v>
      </c>
      <c r="D539" s="135">
        <f t="shared" si="8"/>
        <v>-0.00951565094451812</v>
      </c>
    </row>
    <row r="540" ht="14.25" customHeight="1" spans="2:4">
      <c r="B540" s="137">
        <v>45440</v>
      </c>
      <c r="C540" s="132">
        <v>22888.15</v>
      </c>
      <c r="D540" s="135">
        <f t="shared" si="8"/>
        <v>-0.00801506456397749</v>
      </c>
    </row>
    <row r="541" ht="14.25" customHeight="1" spans="2:4">
      <c r="B541" s="137">
        <v>45439</v>
      </c>
      <c r="C541" s="132">
        <v>22932.45</v>
      </c>
      <c r="D541" s="135">
        <f t="shared" si="8"/>
        <v>-0.00193176045298249</v>
      </c>
    </row>
    <row r="542" ht="14.25" customHeight="1" spans="2:4">
      <c r="B542" s="137">
        <v>45436</v>
      </c>
      <c r="C542" s="132">
        <v>22957.1</v>
      </c>
      <c r="D542" s="135">
        <f t="shared" si="8"/>
        <v>-0.00107374189248632</v>
      </c>
    </row>
    <row r="543" ht="14.25" customHeight="1" spans="2:4">
      <c r="B543" s="137">
        <v>45435</v>
      </c>
      <c r="C543" s="132">
        <v>22967.65</v>
      </c>
      <c r="D543" s="135">
        <f t="shared" si="8"/>
        <v>-0.000459341726297802</v>
      </c>
    </row>
    <row r="544" ht="14.25" customHeight="1" spans="2:4">
      <c r="B544" s="137">
        <v>45434</v>
      </c>
      <c r="C544" s="132">
        <v>22597.8</v>
      </c>
      <c r="D544" s="135">
        <f t="shared" si="8"/>
        <v>0.0163666374602838</v>
      </c>
    </row>
    <row r="545" ht="14.25" customHeight="1" spans="2:4">
      <c r="B545" s="137">
        <v>45433</v>
      </c>
      <c r="C545" s="132">
        <v>22529.05</v>
      </c>
      <c r="D545" s="135">
        <f t="shared" si="8"/>
        <v>0.00305161558077227</v>
      </c>
    </row>
    <row r="546" ht="14.25" customHeight="1" spans="2:4">
      <c r="B546" s="137">
        <v>45430</v>
      </c>
      <c r="C546" s="132">
        <v>22502</v>
      </c>
      <c r="D546" s="135">
        <f t="shared" si="8"/>
        <v>0.00120211536752279</v>
      </c>
    </row>
    <row r="547" ht="14.25" customHeight="1" spans="2:4">
      <c r="B547" s="137">
        <v>45429</v>
      </c>
      <c r="C547" s="132">
        <v>22466.1</v>
      </c>
      <c r="D547" s="135">
        <f t="shared" si="8"/>
        <v>0.00159796315337335</v>
      </c>
    </row>
    <row r="548" ht="14.25" customHeight="1" spans="2:4">
      <c r="B548" s="137">
        <v>45428</v>
      </c>
      <c r="C548" s="132">
        <v>22403.85</v>
      </c>
      <c r="D548" s="135">
        <f t="shared" si="8"/>
        <v>0.0027785402955296</v>
      </c>
    </row>
    <row r="549" ht="14.25" customHeight="1" spans="2:4">
      <c r="B549" s="137">
        <v>45427</v>
      </c>
      <c r="C549" s="132">
        <v>22200.55</v>
      </c>
      <c r="D549" s="135">
        <f t="shared" si="8"/>
        <v>0.00915743078437248</v>
      </c>
    </row>
    <row r="550" ht="14.25" customHeight="1" spans="2:4">
      <c r="B550" s="137">
        <v>45426</v>
      </c>
      <c r="C550" s="132">
        <v>22217.85</v>
      </c>
      <c r="D550" s="135">
        <f t="shared" si="8"/>
        <v>-0.000778653200017021</v>
      </c>
    </row>
    <row r="551" ht="14.25" customHeight="1" spans="2:4">
      <c r="B551" s="137">
        <v>45425</v>
      </c>
      <c r="C551" s="132">
        <v>22104.05</v>
      </c>
      <c r="D551" s="135">
        <f t="shared" si="8"/>
        <v>0.00514837778597133</v>
      </c>
    </row>
    <row r="552" ht="14.25" customHeight="1" spans="2:4">
      <c r="B552" s="137">
        <v>45422</v>
      </c>
      <c r="C552" s="132">
        <v>22055.2</v>
      </c>
      <c r="D552" s="135">
        <f t="shared" si="8"/>
        <v>0.00221489716710788</v>
      </c>
    </row>
    <row r="553" ht="14.25" customHeight="1" spans="2:4">
      <c r="B553" s="137">
        <v>45421</v>
      </c>
      <c r="C553" s="132">
        <v>21957.5</v>
      </c>
      <c r="D553" s="135">
        <f t="shared" si="8"/>
        <v>0.00444950472503702</v>
      </c>
    </row>
    <row r="554" ht="14.25" customHeight="1" spans="2:4">
      <c r="B554" s="137">
        <v>45420</v>
      </c>
      <c r="C554" s="132">
        <v>22302.5</v>
      </c>
      <c r="D554" s="135">
        <f t="shared" si="8"/>
        <v>-0.0154691178119045</v>
      </c>
    </row>
    <row r="555" ht="14.25" customHeight="1" spans="2:4">
      <c r="B555" s="137">
        <v>45419</v>
      </c>
      <c r="C555" s="132">
        <v>22302.5</v>
      </c>
      <c r="D555" s="135">
        <f t="shared" si="8"/>
        <v>0</v>
      </c>
    </row>
    <row r="556" ht="14.25" customHeight="1" spans="2:4">
      <c r="B556" s="137">
        <v>45418</v>
      </c>
      <c r="C556" s="132">
        <v>22442.7</v>
      </c>
      <c r="D556" s="135">
        <f t="shared" si="8"/>
        <v>-0.00624702018919299</v>
      </c>
    </row>
    <row r="557" ht="14.25" customHeight="1" spans="2:4">
      <c r="B557" s="137">
        <v>45415</v>
      </c>
      <c r="C557" s="132">
        <v>22475.85</v>
      </c>
      <c r="D557" s="135">
        <f t="shared" si="8"/>
        <v>-0.0014749164102803</v>
      </c>
    </row>
    <row r="558" ht="14.25" customHeight="1" spans="2:4">
      <c r="B558" s="137">
        <v>45414</v>
      </c>
      <c r="C558" s="132">
        <v>22648.2</v>
      </c>
      <c r="D558" s="135">
        <f t="shared" si="8"/>
        <v>-0.00760987628155885</v>
      </c>
    </row>
    <row r="559" ht="14.25" customHeight="1" spans="2:4">
      <c r="B559" s="137">
        <v>45412</v>
      </c>
      <c r="C559" s="132">
        <v>22604.85</v>
      </c>
      <c r="D559" s="135">
        <f t="shared" si="8"/>
        <v>0.00191773004465867</v>
      </c>
    </row>
    <row r="560" ht="14.25" customHeight="1" spans="2:4">
      <c r="B560" s="137">
        <v>45411</v>
      </c>
      <c r="C560" s="132">
        <v>22643.4</v>
      </c>
      <c r="D560" s="135">
        <f t="shared" si="8"/>
        <v>-0.00170248284268282</v>
      </c>
    </row>
    <row r="561" ht="14.25" customHeight="1" spans="2:4">
      <c r="B561" s="137">
        <v>45408</v>
      </c>
      <c r="C561" s="132">
        <v>22419.95</v>
      </c>
      <c r="D561" s="135">
        <f t="shared" si="8"/>
        <v>0.00996656995220779</v>
      </c>
    </row>
    <row r="562" ht="14.25" customHeight="1" spans="2:4">
      <c r="B562" s="137">
        <v>45407</v>
      </c>
      <c r="C562" s="132">
        <v>22570.35</v>
      </c>
      <c r="D562" s="135">
        <f t="shared" si="8"/>
        <v>-0.00666360955855794</v>
      </c>
    </row>
    <row r="563" ht="14.25" customHeight="1" spans="2:4">
      <c r="B563" s="137">
        <v>45406</v>
      </c>
      <c r="C563" s="132">
        <v>22402.4</v>
      </c>
      <c r="D563" s="135">
        <f t="shared" si="8"/>
        <v>0.00749696461093441</v>
      </c>
    </row>
    <row r="564" ht="14.25" customHeight="1" spans="2:4">
      <c r="B564" s="137">
        <v>45405</v>
      </c>
      <c r="C564" s="132">
        <v>22368</v>
      </c>
      <c r="D564" s="135">
        <f t="shared" si="8"/>
        <v>0.00153791130185987</v>
      </c>
    </row>
    <row r="565" ht="14.25" customHeight="1" spans="2:4">
      <c r="B565" s="137">
        <v>45404</v>
      </c>
      <c r="C565" s="132">
        <v>22336.4</v>
      </c>
      <c r="D565" s="135">
        <f t="shared" si="8"/>
        <v>0.00141473111154888</v>
      </c>
    </row>
    <row r="566" ht="14.25" customHeight="1" spans="2:4">
      <c r="B566" s="137">
        <v>45401</v>
      </c>
      <c r="C566" s="132">
        <v>22147</v>
      </c>
      <c r="D566" s="135">
        <f t="shared" si="8"/>
        <v>0.00855194834514839</v>
      </c>
    </row>
    <row r="567" ht="14.25" customHeight="1" spans="2:4">
      <c r="B567" s="137">
        <v>45400</v>
      </c>
      <c r="C567" s="132">
        <v>21995.85</v>
      </c>
      <c r="D567" s="135">
        <f t="shared" si="8"/>
        <v>0.00687175080753866</v>
      </c>
    </row>
    <row r="568" ht="14.25" customHeight="1" spans="2:4">
      <c r="B568" s="137">
        <v>45398</v>
      </c>
      <c r="C568" s="132">
        <v>22147.9</v>
      </c>
      <c r="D568" s="135">
        <f t="shared" si="8"/>
        <v>-0.00686521069717683</v>
      </c>
    </row>
    <row r="569" ht="14.25" customHeight="1" spans="2:4">
      <c r="B569" s="137">
        <v>45397</v>
      </c>
      <c r="C569" s="132">
        <v>22272.5</v>
      </c>
      <c r="D569" s="135">
        <f t="shared" si="8"/>
        <v>-0.00559434279941629</v>
      </c>
    </row>
    <row r="570" ht="14.25" customHeight="1" spans="2:4">
      <c r="B570" s="137">
        <v>45394</v>
      </c>
      <c r="C570" s="132">
        <v>22519.4</v>
      </c>
      <c r="D570" s="135">
        <f t="shared" si="8"/>
        <v>-0.0109638800323277</v>
      </c>
    </row>
    <row r="571" ht="14.25" customHeight="1" spans="2:4">
      <c r="B571" s="137">
        <v>45392</v>
      </c>
      <c r="C571" s="132">
        <v>22753.8</v>
      </c>
      <c r="D571" s="135">
        <f t="shared" si="8"/>
        <v>-0.0103015760004921</v>
      </c>
    </row>
    <row r="572" ht="14.25" customHeight="1" spans="2:4">
      <c r="B572" s="137">
        <v>45391</v>
      </c>
      <c r="C572" s="132">
        <v>22642.75</v>
      </c>
      <c r="D572" s="135">
        <f t="shared" si="8"/>
        <v>0.00490443961091303</v>
      </c>
    </row>
    <row r="573" ht="14.25" customHeight="1" spans="2:4">
      <c r="B573" s="137">
        <v>45390</v>
      </c>
      <c r="C573" s="132">
        <v>22666.3</v>
      </c>
      <c r="D573" s="135">
        <f t="shared" si="8"/>
        <v>-0.00103898739538433</v>
      </c>
    </row>
    <row r="574" ht="14.25" customHeight="1" spans="2:4">
      <c r="B574" s="137">
        <v>45387</v>
      </c>
      <c r="C574" s="132">
        <v>22513.7</v>
      </c>
      <c r="D574" s="135">
        <f t="shared" si="8"/>
        <v>0.0067780951154186</v>
      </c>
    </row>
    <row r="575" ht="14.25" customHeight="1" spans="2:4">
      <c r="B575" s="137">
        <v>45386</v>
      </c>
      <c r="C575" s="132">
        <v>22514.65</v>
      </c>
      <c r="D575" s="135">
        <f t="shared" si="8"/>
        <v>-4.21947487525554e-5</v>
      </c>
    </row>
    <row r="576" ht="14.25" customHeight="1" spans="2:4">
      <c r="B576" s="137">
        <v>45385</v>
      </c>
      <c r="C576" s="132">
        <v>22434.65</v>
      </c>
      <c r="D576" s="135">
        <f t="shared" si="8"/>
        <v>0.00356591255045213</v>
      </c>
    </row>
    <row r="577" ht="14.25" customHeight="1" spans="2:4">
      <c r="B577" s="137">
        <v>45384</v>
      </c>
      <c r="C577" s="132">
        <v>22453.3</v>
      </c>
      <c r="D577" s="135">
        <f t="shared" si="8"/>
        <v>-0.000830612872049885</v>
      </c>
    </row>
    <row r="578" ht="14.25" customHeight="1" spans="2:4">
      <c r="B578" s="137">
        <v>45383</v>
      </c>
      <c r="C578" s="132">
        <v>22462</v>
      </c>
      <c r="D578" s="135">
        <f t="shared" si="8"/>
        <v>-0.000387320808476588</v>
      </c>
    </row>
    <row r="579" ht="14.25" customHeight="1" spans="2:4">
      <c r="B579" s="137">
        <v>45379</v>
      </c>
      <c r="C579" s="132">
        <v>22326.9</v>
      </c>
      <c r="D579" s="135">
        <f t="shared" si="8"/>
        <v>0.00605099677966936</v>
      </c>
    </row>
    <row r="580" ht="14.25" customHeight="1" spans="2:4">
      <c r="B580" s="137">
        <v>45378</v>
      </c>
      <c r="C580" s="132">
        <v>22123.65</v>
      </c>
      <c r="D580" s="135">
        <f t="shared" si="8"/>
        <v>0.00918700124075378</v>
      </c>
    </row>
    <row r="581" ht="14.25" customHeight="1" spans="2:4">
      <c r="B581" s="137">
        <v>45377</v>
      </c>
      <c r="C581" s="132">
        <v>22004.7</v>
      </c>
      <c r="D581" s="135">
        <f t="shared" si="8"/>
        <v>0.00540566333556014</v>
      </c>
    </row>
    <row r="582" ht="14.25" customHeight="1" spans="2:4">
      <c r="B582" s="137">
        <v>45373</v>
      </c>
      <c r="C582" s="132">
        <v>22096.75</v>
      </c>
      <c r="D582" s="135">
        <f t="shared" si="8"/>
        <v>-0.00416577098442072</v>
      </c>
    </row>
    <row r="583" ht="14.25" customHeight="1" spans="2:4">
      <c r="B583" s="137">
        <v>45372</v>
      </c>
      <c r="C583" s="132">
        <v>22011.95</v>
      </c>
      <c r="D583" s="135">
        <f t="shared" si="8"/>
        <v>0.00385245287218994</v>
      </c>
    </row>
    <row r="584" ht="14.25" customHeight="1" spans="2:4">
      <c r="B584" s="137">
        <v>45371</v>
      </c>
      <c r="C584" s="132">
        <v>21839.1</v>
      </c>
      <c r="D584" s="135">
        <f t="shared" si="8"/>
        <v>0.0079147034447391</v>
      </c>
    </row>
    <row r="585" ht="14.25" customHeight="1" spans="2:4">
      <c r="B585" s="137">
        <v>45370</v>
      </c>
      <c r="C585" s="132">
        <v>21817.45</v>
      </c>
      <c r="D585" s="135">
        <f t="shared" ref="D585:D648" si="9">C584/C585-1</f>
        <v>0.000992324950899404</v>
      </c>
    </row>
    <row r="586" ht="14.25" customHeight="1" spans="2:4">
      <c r="B586" s="137">
        <v>45369</v>
      </c>
      <c r="C586" s="132">
        <v>22055.7</v>
      </c>
      <c r="D586" s="135">
        <f t="shared" si="9"/>
        <v>-0.0108021962576568</v>
      </c>
    </row>
    <row r="587" ht="14.25" customHeight="1" spans="2:4">
      <c r="B587" s="137">
        <v>45366</v>
      </c>
      <c r="C587" s="132">
        <v>22023.35</v>
      </c>
      <c r="D587" s="135">
        <f t="shared" si="9"/>
        <v>0.00146889551317142</v>
      </c>
    </row>
    <row r="588" ht="14.25" customHeight="1" spans="2:4">
      <c r="B588" s="137">
        <v>45365</v>
      </c>
      <c r="C588" s="132">
        <v>22146.65</v>
      </c>
      <c r="D588" s="135">
        <f t="shared" si="9"/>
        <v>-0.00556743344930288</v>
      </c>
    </row>
    <row r="589" ht="14.25" customHeight="1" spans="2:4">
      <c r="B589" s="137">
        <v>45364</v>
      </c>
      <c r="C589" s="132">
        <v>21997.7</v>
      </c>
      <c r="D589" s="135">
        <f t="shared" si="9"/>
        <v>0.00677116243970954</v>
      </c>
    </row>
    <row r="590" ht="14.25" customHeight="1" spans="2:4">
      <c r="B590" s="137">
        <v>45363</v>
      </c>
      <c r="C590" s="132">
        <v>22335.7</v>
      </c>
      <c r="D590" s="135">
        <f t="shared" si="9"/>
        <v>-0.0151327247411095</v>
      </c>
    </row>
    <row r="591" ht="14.25" customHeight="1" spans="2:4">
      <c r="B591" s="137">
        <v>45362</v>
      </c>
      <c r="C591" s="132">
        <v>22332.65</v>
      </c>
      <c r="D591" s="135">
        <f t="shared" si="9"/>
        <v>0.000136571342854497</v>
      </c>
    </row>
    <row r="592" ht="14.25" customHeight="1" spans="2:4">
      <c r="B592" s="137">
        <v>45358</v>
      </c>
      <c r="C592" s="132">
        <v>22493.55</v>
      </c>
      <c r="D592" s="135">
        <f t="shared" si="9"/>
        <v>-0.00715316168412716</v>
      </c>
    </row>
    <row r="593" ht="14.25" customHeight="1" spans="2:4">
      <c r="B593" s="137">
        <v>45357</v>
      </c>
      <c r="C593" s="132">
        <v>22474.05</v>
      </c>
      <c r="D593" s="135">
        <f t="shared" si="9"/>
        <v>0.000867667376374115</v>
      </c>
    </row>
    <row r="594" ht="14.25" customHeight="1" spans="2:4">
      <c r="B594" s="137">
        <v>45356</v>
      </c>
      <c r="C594" s="132">
        <v>22356.3</v>
      </c>
      <c r="D594" s="135">
        <f t="shared" si="9"/>
        <v>0.0052669717260907</v>
      </c>
    </row>
    <row r="595" ht="14.25" customHeight="1" spans="2:4">
      <c r="B595" s="137">
        <v>45355</v>
      </c>
      <c r="C595" s="132">
        <v>22405.6</v>
      </c>
      <c r="D595" s="135">
        <f t="shared" si="9"/>
        <v>-0.00220034277144998</v>
      </c>
    </row>
    <row r="596" ht="14.25" customHeight="1" spans="2:4">
      <c r="B596" s="137">
        <v>45353</v>
      </c>
      <c r="C596" s="132">
        <v>22378.4</v>
      </c>
      <c r="D596" s="135">
        <f t="shared" si="9"/>
        <v>0.00121545776284271</v>
      </c>
    </row>
    <row r="597" ht="14.25" customHeight="1" spans="2:4">
      <c r="B597" s="137">
        <v>45352</v>
      </c>
      <c r="C597" s="132">
        <v>22338.75</v>
      </c>
      <c r="D597" s="135">
        <f t="shared" si="9"/>
        <v>0.00177494264450795</v>
      </c>
    </row>
    <row r="598" ht="14.25" customHeight="1" spans="2:4">
      <c r="B598" s="137">
        <v>45351</v>
      </c>
      <c r="C598" s="132">
        <v>21982.8</v>
      </c>
      <c r="D598" s="135">
        <f t="shared" si="9"/>
        <v>0.0161922048146734</v>
      </c>
    </row>
    <row r="599" ht="14.25" customHeight="1" spans="2:4">
      <c r="B599" s="137">
        <v>45350</v>
      </c>
      <c r="C599" s="132">
        <v>21951.15</v>
      </c>
      <c r="D599" s="135">
        <f t="shared" si="9"/>
        <v>0.0014418378991532</v>
      </c>
    </row>
    <row r="600" ht="14.25" customHeight="1" spans="2:4">
      <c r="B600" s="137">
        <v>45349</v>
      </c>
      <c r="C600" s="132">
        <v>22198.35</v>
      </c>
      <c r="D600" s="135">
        <f t="shared" si="9"/>
        <v>-0.0111359628080464</v>
      </c>
    </row>
    <row r="601" ht="14.25" customHeight="1" spans="2:4">
      <c r="B601" s="137">
        <v>45348</v>
      </c>
      <c r="C601" s="132">
        <v>22122.05</v>
      </c>
      <c r="D601" s="135">
        <f t="shared" si="9"/>
        <v>0.00344904744361396</v>
      </c>
    </row>
    <row r="602" ht="14.25" customHeight="1" spans="2:4">
      <c r="B602" s="137">
        <v>45345</v>
      </c>
      <c r="C602" s="132">
        <v>22212.7</v>
      </c>
      <c r="D602" s="135">
        <f t="shared" si="9"/>
        <v>-0.00408099870794643</v>
      </c>
    </row>
    <row r="603" ht="14.25" customHeight="1" spans="2:4">
      <c r="B603" s="137">
        <v>45344</v>
      </c>
      <c r="C603" s="132">
        <v>22217.45</v>
      </c>
      <c r="D603" s="135">
        <f t="shared" si="9"/>
        <v>-0.000213795912672232</v>
      </c>
    </row>
    <row r="604" ht="14.25" customHeight="1" spans="2:4">
      <c r="B604" s="137">
        <v>45343</v>
      </c>
      <c r="C604" s="132">
        <v>22055.05</v>
      </c>
      <c r="D604" s="135">
        <f t="shared" si="9"/>
        <v>0.00736339296442323</v>
      </c>
    </row>
    <row r="605" ht="14.25" customHeight="1" spans="2:4">
      <c r="B605" s="137">
        <v>45342</v>
      </c>
      <c r="C605" s="132">
        <v>22196.95</v>
      </c>
      <c r="D605" s="135">
        <f t="shared" si="9"/>
        <v>-0.00639277017788487</v>
      </c>
    </row>
    <row r="606" ht="14.25" customHeight="1" spans="2:4">
      <c r="B606" s="137">
        <v>45341</v>
      </c>
      <c r="C606" s="132">
        <v>22122.25</v>
      </c>
      <c r="D606" s="135">
        <f t="shared" si="9"/>
        <v>0.00337669088813297</v>
      </c>
    </row>
    <row r="607" ht="14.25" customHeight="1" spans="2:4">
      <c r="B607" s="137">
        <v>45338</v>
      </c>
      <c r="C607" s="132">
        <v>22040.7</v>
      </c>
      <c r="D607" s="135">
        <f t="shared" si="9"/>
        <v>0.00369997323134008</v>
      </c>
    </row>
    <row r="608" ht="14.25" customHeight="1" spans="2:4">
      <c r="B608" s="137">
        <v>45337</v>
      </c>
      <c r="C608" s="132">
        <v>21910.75</v>
      </c>
      <c r="D608" s="135">
        <f t="shared" si="9"/>
        <v>0.00593087867827435</v>
      </c>
    </row>
    <row r="609" ht="14.25" customHeight="1" spans="2:4">
      <c r="B609" s="137">
        <v>45336</v>
      </c>
      <c r="C609" s="132">
        <v>21840.05</v>
      </c>
      <c r="D609" s="135">
        <f t="shared" si="9"/>
        <v>0.00323717207607133</v>
      </c>
    </row>
    <row r="610" ht="14.25" customHeight="1" spans="2:4">
      <c r="B610" s="137">
        <v>45335</v>
      </c>
      <c r="C610" s="132">
        <v>21743.25</v>
      </c>
      <c r="D610" s="135">
        <f t="shared" si="9"/>
        <v>0.00445195635427087</v>
      </c>
    </row>
    <row r="611" ht="14.25" customHeight="1" spans="2:4">
      <c r="B611" s="137">
        <v>45334</v>
      </c>
      <c r="C611" s="132">
        <v>21616.05</v>
      </c>
      <c r="D611" s="135">
        <f t="shared" si="9"/>
        <v>0.00588451636631127</v>
      </c>
    </row>
    <row r="612" ht="14.25" customHeight="1" spans="2:4">
      <c r="B612" s="137">
        <v>45331</v>
      </c>
      <c r="C612" s="132">
        <v>21782.5</v>
      </c>
      <c r="D612" s="135">
        <f t="shared" si="9"/>
        <v>-0.00764145529668314</v>
      </c>
    </row>
    <row r="613" ht="14.25" customHeight="1" spans="2:4">
      <c r="B613" s="137">
        <v>45330</v>
      </c>
      <c r="C613" s="132">
        <v>21717.95</v>
      </c>
      <c r="D613" s="135">
        <f t="shared" si="9"/>
        <v>0.00297219581037811</v>
      </c>
    </row>
    <row r="614" ht="14.25" customHeight="1" spans="2:4">
      <c r="B614" s="137">
        <v>45329</v>
      </c>
      <c r="C614" s="132">
        <v>21930.5</v>
      </c>
      <c r="D614" s="135">
        <f t="shared" si="9"/>
        <v>-0.00969198148697015</v>
      </c>
    </row>
    <row r="615" ht="14.25" customHeight="1" spans="2:4">
      <c r="B615" s="137">
        <v>45328</v>
      </c>
      <c r="C615" s="132">
        <v>21929.4</v>
      </c>
      <c r="D615" s="135">
        <f t="shared" si="9"/>
        <v>5.01609711163198e-5</v>
      </c>
    </row>
    <row r="616" ht="14.25" customHeight="1" spans="2:4">
      <c r="B616" s="137">
        <v>45327</v>
      </c>
      <c r="C616" s="132">
        <v>21771.7</v>
      </c>
      <c r="D616" s="135">
        <f t="shared" si="9"/>
        <v>0.00724334801600235</v>
      </c>
    </row>
    <row r="617" ht="14.25" customHeight="1" spans="2:4">
      <c r="B617" s="137">
        <v>45324</v>
      </c>
      <c r="C617" s="132">
        <v>21853.8</v>
      </c>
      <c r="D617" s="135">
        <f t="shared" si="9"/>
        <v>-0.00375678371724819</v>
      </c>
    </row>
    <row r="618" ht="14.25" customHeight="1" spans="2:4">
      <c r="B618" s="137">
        <v>45323</v>
      </c>
      <c r="C618" s="132">
        <v>21697.45</v>
      </c>
      <c r="D618" s="135">
        <f t="shared" si="9"/>
        <v>0.00720591590255992</v>
      </c>
    </row>
    <row r="619" ht="14.25" customHeight="1" spans="2:4">
      <c r="B619" s="137">
        <v>45322</v>
      </c>
      <c r="C619" s="132">
        <v>21725.7</v>
      </c>
      <c r="D619" s="135">
        <f t="shared" si="9"/>
        <v>-0.00130030332739561</v>
      </c>
    </row>
    <row r="620" ht="14.25" customHeight="1" spans="2:4">
      <c r="B620" s="137">
        <v>45321</v>
      </c>
      <c r="C620" s="132">
        <v>21522.1</v>
      </c>
      <c r="D620" s="135">
        <f t="shared" si="9"/>
        <v>0.00946004339725226</v>
      </c>
    </row>
    <row r="621" ht="14.25" customHeight="1" spans="2:4">
      <c r="B621" s="137">
        <v>45320</v>
      </c>
      <c r="C621" s="132">
        <v>21737.6</v>
      </c>
      <c r="D621" s="135">
        <f t="shared" si="9"/>
        <v>-0.00991369792433383</v>
      </c>
    </row>
    <row r="622" ht="14.25" customHeight="1" spans="2:4">
      <c r="B622" s="137">
        <v>45316</v>
      </c>
      <c r="C622" s="132">
        <v>21352.6</v>
      </c>
      <c r="D622" s="135">
        <f t="shared" si="9"/>
        <v>0.0180305911223926</v>
      </c>
    </row>
    <row r="623" ht="14.25" customHeight="1" spans="2:4">
      <c r="B623" s="137">
        <v>45315</v>
      </c>
      <c r="C623" s="132">
        <v>21453.95</v>
      </c>
      <c r="D623" s="135">
        <f t="shared" si="9"/>
        <v>-0.00472407179097567</v>
      </c>
    </row>
    <row r="624" ht="14.25" customHeight="1" spans="2:4">
      <c r="B624" s="137">
        <v>45314</v>
      </c>
      <c r="C624" s="132">
        <v>21238.8</v>
      </c>
      <c r="D624" s="135">
        <f t="shared" si="9"/>
        <v>0.0101300450119592</v>
      </c>
    </row>
    <row r="625" ht="14.25" customHeight="1" spans="2:4">
      <c r="B625" s="137">
        <v>45311</v>
      </c>
      <c r="C625" s="132">
        <v>21571.8</v>
      </c>
      <c r="D625" s="135">
        <f t="shared" si="9"/>
        <v>-0.0154368202931605</v>
      </c>
    </row>
    <row r="626" ht="14.25" customHeight="1" spans="2:4">
      <c r="B626" s="137">
        <v>45310</v>
      </c>
      <c r="C626" s="132">
        <v>21622.4</v>
      </c>
      <c r="D626" s="135">
        <f t="shared" si="9"/>
        <v>-0.00234016575403295</v>
      </c>
    </row>
    <row r="627" ht="14.25" customHeight="1" spans="2:4">
      <c r="B627" s="137">
        <v>45309</v>
      </c>
      <c r="C627" s="132">
        <v>21462.25</v>
      </c>
      <c r="D627" s="135">
        <f t="shared" si="9"/>
        <v>0.00746193898589387</v>
      </c>
    </row>
    <row r="628" ht="14.25" customHeight="1" spans="2:4">
      <c r="B628" s="137">
        <v>45308</v>
      </c>
      <c r="C628" s="132">
        <v>21571.95</v>
      </c>
      <c r="D628" s="135">
        <f t="shared" si="9"/>
        <v>-0.00508530754057934</v>
      </c>
    </row>
    <row r="629" ht="14.25" customHeight="1" spans="2:4">
      <c r="B629" s="137">
        <v>45307</v>
      </c>
      <c r="C629" s="132">
        <v>22032.3</v>
      </c>
      <c r="D629" s="135">
        <f t="shared" si="9"/>
        <v>-0.0208943233343772</v>
      </c>
    </row>
    <row r="630" ht="14.25" customHeight="1" spans="2:4">
      <c r="B630" s="137">
        <v>45306</v>
      </c>
      <c r="C630" s="132">
        <v>22097.45</v>
      </c>
      <c r="D630" s="135">
        <f t="shared" si="9"/>
        <v>-0.00294830398982693</v>
      </c>
    </row>
    <row r="631" ht="14.25" customHeight="1" spans="2:4">
      <c r="B631" s="137">
        <v>45303</v>
      </c>
      <c r="C631" s="132">
        <v>21894.55</v>
      </c>
      <c r="D631" s="135">
        <f t="shared" si="9"/>
        <v>0.00926714639031179</v>
      </c>
    </row>
    <row r="632" ht="14.25" customHeight="1" spans="2:4">
      <c r="B632" s="137">
        <v>45302</v>
      </c>
      <c r="C632" s="132">
        <v>21647.2</v>
      </c>
      <c r="D632" s="135">
        <f t="shared" si="9"/>
        <v>0.0114264200450866</v>
      </c>
    </row>
    <row r="633" ht="14.25" customHeight="1" spans="2:4">
      <c r="B633" s="137">
        <v>45301</v>
      </c>
      <c r="C633" s="132">
        <v>21618.7</v>
      </c>
      <c r="D633" s="135">
        <f t="shared" si="9"/>
        <v>0.00131830313571113</v>
      </c>
    </row>
    <row r="634" ht="14.25" customHeight="1" spans="2:4">
      <c r="B634" s="137">
        <v>45300</v>
      </c>
      <c r="C634" s="132">
        <v>21544.85</v>
      </c>
      <c r="D634" s="135">
        <f t="shared" si="9"/>
        <v>0.00342773330981649</v>
      </c>
    </row>
    <row r="635" ht="14.25" customHeight="1" spans="2:4">
      <c r="B635" s="137">
        <v>45299</v>
      </c>
      <c r="C635" s="132">
        <v>21513</v>
      </c>
      <c r="D635" s="135">
        <f t="shared" si="9"/>
        <v>0.0014805001626923</v>
      </c>
    </row>
    <row r="636" ht="14.25" customHeight="1" spans="2:4">
      <c r="B636" s="137">
        <v>45296</v>
      </c>
      <c r="C636" s="132">
        <v>21710.8</v>
      </c>
      <c r="D636" s="135">
        <f t="shared" si="9"/>
        <v>-0.00911067302909152</v>
      </c>
    </row>
    <row r="637" ht="14.25" customHeight="1" spans="2:4">
      <c r="B637" s="137">
        <v>45295</v>
      </c>
      <c r="C637" s="132">
        <v>21658.6</v>
      </c>
      <c r="D637" s="135">
        <f t="shared" si="9"/>
        <v>0.00241012807845387</v>
      </c>
    </row>
    <row r="638" ht="14.25" customHeight="1" spans="2:4">
      <c r="B638" s="137">
        <v>45294</v>
      </c>
      <c r="C638" s="132">
        <v>21517.35</v>
      </c>
      <c r="D638" s="135">
        <f t="shared" si="9"/>
        <v>0.00656447006717831</v>
      </c>
    </row>
    <row r="639" ht="14.25" customHeight="1" spans="2:4">
      <c r="B639" s="137">
        <v>45293</v>
      </c>
      <c r="C639" s="132">
        <v>21665.8</v>
      </c>
      <c r="D639" s="135">
        <f t="shared" si="9"/>
        <v>-0.00685181253403988</v>
      </c>
    </row>
    <row r="640" ht="14.25" customHeight="1" spans="2:4">
      <c r="B640" s="137">
        <v>45292</v>
      </c>
      <c r="C640" s="132">
        <v>21741.9</v>
      </c>
      <c r="D640" s="135">
        <f t="shared" si="9"/>
        <v>-0.0035001540803703</v>
      </c>
    </row>
    <row r="641" ht="14.25" customHeight="1" spans="2:4">
      <c r="B641" s="137">
        <v>45289</v>
      </c>
      <c r="C641" s="132">
        <v>21731.4</v>
      </c>
      <c r="D641" s="135">
        <f t="shared" si="9"/>
        <v>0.000483171815897743</v>
      </c>
    </row>
    <row r="642" ht="14.25" customHeight="1" spans="2:4">
      <c r="B642" s="137">
        <v>45288</v>
      </c>
      <c r="C642" s="132">
        <v>21778.7</v>
      </c>
      <c r="D642" s="135">
        <f t="shared" si="9"/>
        <v>-0.00217184680444649</v>
      </c>
    </row>
    <row r="643" ht="14.25" customHeight="1" spans="2:4">
      <c r="B643" s="137">
        <v>45287</v>
      </c>
      <c r="C643" s="132">
        <v>21654.75</v>
      </c>
      <c r="D643" s="135">
        <f t="shared" si="9"/>
        <v>0.00572391738533118</v>
      </c>
    </row>
    <row r="644" ht="14.25" customHeight="1" spans="2:4">
      <c r="B644" s="137">
        <v>45286</v>
      </c>
      <c r="C644" s="132">
        <v>21441.35</v>
      </c>
      <c r="D644" s="135">
        <f t="shared" si="9"/>
        <v>0.00995273152110299</v>
      </c>
    </row>
    <row r="645" ht="14.25" customHeight="1" spans="2:4">
      <c r="B645" s="137">
        <v>45282</v>
      </c>
      <c r="C645" s="132">
        <v>21349.4</v>
      </c>
      <c r="D645" s="135">
        <f t="shared" si="9"/>
        <v>0.00430691260644323</v>
      </c>
    </row>
    <row r="646" ht="14.25" customHeight="1" spans="2:4">
      <c r="B646" s="137">
        <v>45281</v>
      </c>
      <c r="C646" s="132">
        <v>21255.05</v>
      </c>
      <c r="D646" s="135">
        <f t="shared" si="9"/>
        <v>0.00443894509775333</v>
      </c>
    </row>
    <row r="647" ht="14.25" customHeight="1" spans="2:4">
      <c r="B647" s="137">
        <v>45280</v>
      </c>
      <c r="C647" s="132">
        <v>21150.15</v>
      </c>
      <c r="D647" s="135">
        <f t="shared" si="9"/>
        <v>0.00495977569899031</v>
      </c>
    </row>
    <row r="648" ht="14.25" customHeight="1" spans="2:4">
      <c r="B648" s="137">
        <v>45279</v>
      </c>
      <c r="C648" s="132">
        <v>21453.1</v>
      </c>
      <c r="D648" s="135">
        <f t="shared" si="9"/>
        <v>-0.0141215022537534</v>
      </c>
    </row>
    <row r="649" ht="14.25" customHeight="1" spans="2:4">
      <c r="B649" s="137">
        <v>45278</v>
      </c>
      <c r="C649" s="132">
        <v>21418.65</v>
      </c>
      <c r="D649" s="135">
        <f t="shared" ref="D649:D712" si="10">C648/C649-1</f>
        <v>0.00160841136112677</v>
      </c>
    </row>
    <row r="650" ht="14.25" customHeight="1" spans="2:4">
      <c r="B650" s="137">
        <v>45275</v>
      </c>
      <c r="C650" s="132">
        <v>21456.65</v>
      </c>
      <c r="D650" s="135">
        <f t="shared" si="10"/>
        <v>-0.00177101271633739</v>
      </c>
    </row>
    <row r="651" ht="14.25" customHeight="1" spans="2:4">
      <c r="B651" s="137">
        <v>45274</v>
      </c>
      <c r="C651" s="132">
        <v>21182.7</v>
      </c>
      <c r="D651" s="135">
        <f t="shared" si="10"/>
        <v>0.0129327234016439</v>
      </c>
    </row>
    <row r="652" ht="14.25" customHeight="1" spans="2:4">
      <c r="B652" s="137">
        <v>45273</v>
      </c>
      <c r="C652" s="132">
        <v>20926.35</v>
      </c>
      <c r="D652" s="135">
        <f t="shared" si="10"/>
        <v>0.012250105727946</v>
      </c>
    </row>
    <row r="653" ht="14.25" customHeight="1" spans="2:4">
      <c r="B653" s="137">
        <v>45272</v>
      </c>
      <c r="C653" s="132">
        <v>20906.4</v>
      </c>
      <c r="D653" s="135">
        <f t="shared" si="10"/>
        <v>0.000954253243026004</v>
      </c>
    </row>
    <row r="654" ht="14.25" customHeight="1" spans="2:4">
      <c r="B654" s="137">
        <v>45271</v>
      </c>
      <c r="C654" s="132">
        <v>20997.1</v>
      </c>
      <c r="D654" s="135">
        <f t="shared" si="10"/>
        <v>-0.00431964414133368</v>
      </c>
    </row>
    <row r="655" ht="14.25" customHeight="1" spans="2:4">
      <c r="B655" s="137">
        <v>45268</v>
      </c>
      <c r="C655" s="132">
        <v>20969.4</v>
      </c>
      <c r="D655" s="135">
        <f t="shared" si="10"/>
        <v>0.0013209724646388</v>
      </c>
    </row>
    <row r="656" ht="14.25" customHeight="1" spans="2:4">
      <c r="B656" s="137">
        <v>45267</v>
      </c>
      <c r="C656" s="132">
        <v>20901.15</v>
      </c>
      <c r="D656" s="135">
        <f t="shared" si="10"/>
        <v>0.00326537056573439</v>
      </c>
    </row>
    <row r="657" ht="14.25" customHeight="1" spans="2:4">
      <c r="B657" s="137">
        <v>45266</v>
      </c>
      <c r="C657" s="132">
        <v>20937.7</v>
      </c>
      <c r="D657" s="135">
        <f t="shared" si="10"/>
        <v>-0.00174565496687784</v>
      </c>
    </row>
    <row r="658" ht="14.25" customHeight="1" spans="2:4">
      <c r="B658" s="137">
        <v>45265</v>
      </c>
      <c r="C658" s="132">
        <v>20855.1</v>
      </c>
      <c r="D658" s="135">
        <f t="shared" si="10"/>
        <v>0.00396066190044642</v>
      </c>
    </row>
    <row r="659" ht="14.25" customHeight="1" spans="2:4">
      <c r="B659" s="137">
        <v>45264</v>
      </c>
      <c r="C659" s="132">
        <v>20686.8</v>
      </c>
      <c r="D659" s="135">
        <f t="shared" si="10"/>
        <v>0.00813562271593482</v>
      </c>
    </row>
    <row r="660" ht="14.25" customHeight="1" spans="2:4">
      <c r="B660" s="137">
        <v>45261</v>
      </c>
      <c r="C660" s="132">
        <v>20267.9</v>
      </c>
      <c r="D660" s="135">
        <f t="shared" si="10"/>
        <v>0.0206681501290216</v>
      </c>
    </row>
    <row r="661" ht="14.25" customHeight="1" spans="2:4">
      <c r="B661" s="137">
        <v>45260</v>
      </c>
      <c r="C661" s="132">
        <v>20133.15</v>
      </c>
      <c r="D661" s="135">
        <f t="shared" si="10"/>
        <v>0.00669294174036361</v>
      </c>
    </row>
    <row r="662" ht="14.25" customHeight="1" spans="2:4">
      <c r="B662" s="137">
        <v>45259</v>
      </c>
      <c r="C662" s="132">
        <v>20096.6</v>
      </c>
      <c r="D662" s="135">
        <f t="shared" si="10"/>
        <v>0.00181871560363467</v>
      </c>
    </row>
    <row r="663" ht="14.25" customHeight="1" spans="2:4">
      <c r="B663" s="137">
        <v>45258</v>
      </c>
      <c r="C663" s="132">
        <v>19889.7</v>
      </c>
      <c r="D663" s="135">
        <f t="shared" si="10"/>
        <v>0.0104023690653956</v>
      </c>
    </row>
    <row r="664" ht="14.25" customHeight="1" spans="2:4">
      <c r="B664" s="137">
        <v>45254</v>
      </c>
      <c r="C664" s="132">
        <v>19794.7</v>
      </c>
      <c r="D664" s="135">
        <f t="shared" si="10"/>
        <v>0.0047992644495749</v>
      </c>
    </row>
    <row r="665" ht="14.25" customHeight="1" spans="2:4">
      <c r="B665" s="137">
        <v>45253</v>
      </c>
      <c r="C665" s="132">
        <v>19802</v>
      </c>
      <c r="D665" s="135">
        <f t="shared" si="10"/>
        <v>-0.000368649631350304</v>
      </c>
    </row>
    <row r="666" ht="14.25" customHeight="1" spans="2:4">
      <c r="B666" s="137">
        <v>45252</v>
      </c>
      <c r="C666" s="132">
        <v>19811.85</v>
      </c>
      <c r="D666" s="135">
        <f t="shared" si="10"/>
        <v>-0.000497177194456744</v>
      </c>
    </row>
    <row r="667" ht="14.25" customHeight="1" spans="2:4">
      <c r="B667" s="137">
        <v>45251</v>
      </c>
      <c r="C667" s="132">
        <v>19783.4</v>
      </c>
      <c r="D667" s="135">
        <f t="shared" si="10"/>
        <v>0.00143807434515786</v>
      </c>
    </row>
    <row r="668" ht="14.25" customHeight="1" spans="2:4">
      <c r="B668" s="137">
        <v>45250</v>
      </c>
      <c r="C668" s="132">
        <v>19694</v>
      </c>
      <c r="D668" s="135">
        <f t="shared" si="10"/>
        <v>0.00453945364070285</v>
      </c>
    </row>
    <row r="669" ht="14.25" customHeight="1" spans="2:4">
      <c r="B669" s="137">
        <v>45247</v>
      </c>
      <c r="C669" s="132">
        <v>19731.8</v>
      </c>
      <c r="D669" s="135">
        <f t="shared" si="10"/>
        <v>-0.00191568939478404</v>
      </c>
    </row>
    <row r="670" ht="14.25" customHeight="1" spans="2:4">
      <c r="B670" s="137">
        <v>45246</v>
      </c>
      <c r="C670" s="132">
        <v>19765.2</v>
      </c>
      <c r="D670" s="135">
        <f t="shared" si="10"/>
        <v>-0.00168983870641337</v>
      </c>
    </row>
    <row r="671" ht="14.25" customHeight="1" spans="2:4">
      <c r="B671" s="137">
        <v>45245</v>
      </c>
      <c r="C671" s="132">
        <v>19675.45</v>
      </c>
      <c r="D671" s="135">
        <f t="shared" si="10"/>
        <v>0.00456152209987581</v>
      </c>
    </row>
    <row r="672" ht="14.25" customHeight="1" spans="2:4">
      <c r="B672" s="137">
        <v>45243</v>
      </c>
      <c r="C672" s="132">
        <v>19443.55</v>
      </c>
      <c r="D672" s="135">
        <f t="shared" si="10"/>
        <v>0.0119268343486658</v>
      </c>
    </row>
    <row r="673" ht="14.25" customHeight="1" spans="2:4">
      <c r="B673" s="137">
        <v>45242</v>
      </c>
      <c r="C673" s="132">
        <v>19525.55</v>
      </c>
      <c r="D673" s="135">
        <f t="shared" si="10"/>
        <v>-0.00419962561874054</v>
      </c>
    </row>
    <row r="674" ht="14.25" customHeight="1" spans="2:4">
      <c r="B674" s="137">
        <v>45240</v>
      </c>
      <c r="C674" s="132">
        <v>19425.35</v>
      </c>
      <c r="D674" s="135">
        <f t="shared" si="10"/>
        <v>0.00515820821761248</v>
      </c>
    </row>
    <row r="675" ht="14.25" customHeight="1" spans="2:4">
      <c r="B675" s="137">
        <v>45239</v>
      </c>
      <c r="C675" s="132">
        <v>19395.3</v>
      </c>
      <c r="D675" s="135">
        <f t="shared" si="10"/>
        <v>0.00154934442880483</v>
      </c>
    </row>
    <row r="676" ht="14.25" customHeight="1" spans="2:4">
      <c r="B676" s="137">
        <v>45238</v>
      </c>
      <c r="C676" s="132">
        <v>19443.5</v>
      </c>
      <c r="D676" s="135">
        <f t="shared" si="10"/>
        <v>-0.00247897755033821</v>
      </c>
    </row>
    <row r="677" ht="14.25" customHeight="1" spans="2:4">
      <c r="B677" s="137">
        <v>45237</v>
      </c>
      <c r="C677" s="132">
        <v>19406.7</v>
      </c>
      <c r="D677" s="135">
        <f t="shared" si="10"/>
        <v>0.00189625232522794</v>
      </c>
    </row>
    <row r="678" ht="14.25" customHeight="1" spans="2:4">
      <c r="B678" s="137">
        <v>45236</v>
      </c>
      <c r="C678" s="132">
        <v>19411.75</v>
      </c>
      <c r="D678" s="135">
        <f t="shared" si="10"/>
        <v>-0.000260151712236145</v>
      </c>
    </row>
    <row r="679" ht="14.25" customHeight="1" spans="2:4">
      <c r="B679" s="137">
        <v>45233</v>
      </c>
      <c r="C679" s="132">
        <v>19230.6</v>
      </c>
      <c r="D679" s="135">
        <f t="shared" si="10"/>
        <v>0.00941988289496964</v>
      </c>
    </row>
    <row r="680" ht="14.25" customHeight="1" spans="2:4">
      <c r="B680" s="137">
        <v>45232</v>
      </c>
      <c r="C680" s="132">
        <v>19133.25</v>
      </c>
      <c r="D680" s="135">
        <f t="shared" si="10"/>
        <v>0.00508800125436082</v>
      </c>
    </row>
    <row r="681" ht="14.25" customHeight="1" spans="2:4">
      <c r="B681" s="137">
        <v>45231</v>
      </c>
      <c r="C681" s="132">
        <v>18989.15</v>
      </c>
      <c r="D681" s="135">
        <f t="shared" si="10"/>
        <v>0.00758854398432773</v>
      </c>
    </row>
    <row r="682" ht="14.25" customHeight="1" spans="2:4">
      <c r="B682" s="137">
        <v>45230</v>
      </c>
      <c r="C682" s="132">
        <v>19079.6</v>
      </c>
      <c r="D682" s="135">
        <f t="shared" si="10"/>
        <v>-0.00474066542275509</v>
      </c>
    </row>
    <row r="683" ht="14.25" customHeight="1" spans="2:4">
      <c r="B683" s="137">
        <v>45229</v>
      </c>
      <c r="C683" s="132">
        <v>19140.9</v>
      </c>
      <c r="D683" s="135">
        <f t="shared" si="10"/>
        <v>-0.00320256623251791</v>
      </c>
    </row>
    <row r="684" ht="14.25" customHeight="1" spans="2:4">
      <c r="B684" s="137">
        <v>45226</v>
      </c>
      <c r="C684" s="132">
        <v>19047.25</v>
      </c>
      <c r="D684" s="135">
        <f t="shared" si="10"/>
        <v>0.00491672026145507</v>
      </c>
    </row>
    <row r="685" ht="14.25" customHeight="1" spans="2:4">
      <c r="B685" s="137">
        <v>45225</v>
      </c>
      <c r="C685" s="132">
        <v>18857.25</v>
      </c>
      <c r="D685" s="135">
        <f t="shared" si="10"/>
        <v>0.0100757003274603</v>
      </c>
    </row>
    <row r="686" ht="14.25" customHeight="1" spans="2:4">
      <c r="B686" s="137">
        <v>45224</v>
      </c>
      <c r="C686" s="132">
        <v>19122.15</v>
      </c>
      <c r="D686" s="135">
        <f t="shared" si="10"/>
        <v>-0.0138530447674556</v>
      </c>
    </row>
    <row r="687" ht="14.25" customHeight="1" spans="2:4">
      <c r="B687" s="137">
        <v>45222</v>
      </c>
      <c r="C687" s="132">
        <v>19281.75</v>
      </c>
      <c r="D687" s="135">
        <f t="shared" si="10"/>
        <v>-0.00827725699171489</v>
      </c>
    </row>
    <row r="688" ht="14.25" customHeight="1" spans="2:4">
      <c r="B688" s="137">
        <v>45219</v>
      </c>
      <c r="C688" s="132">
        <v>19542.65</v>
      </c>
      <c r="D688" s="135">
        <f t="shared" si="10"/>
        <v>-0.013350287704073</v>
      </c>
    </row>
    <row r="689" ht="14.25" customHeight="1" spans="2:4">
      <c r="B689" s="137">
        <v>45218</v>
      </c>
      <c r="C689" s="132">
        <v>19624.7</v>
      </c>
      <c r="D689" s="135">
        <f t="shared" si="10"/>
        <v>-0.00418095563244281</v>
      </c>
    </row>
    <row r="690" ht="14.25" customHeight="1" spans="2:4">
      <c r="B690" s="137">
        <v>45217</v>
      </c>
      <c r="C690" s="132">
        <v>19671.1</v>
      </c>
      <c r="D690" s="135">
        <f t="shared" si="10"/>
        <v>-0.00235879030659181</v>
      </c>
    </row>
    <row r="691" ht="14.25" customHeight="1" spans="2:4">
      <c r="B691" s="137">
        <v>45216</v>
      </c>
      <c r="C691" s="132">
        <v>19811.5</v>
      </c>
      <c r="D691" s="135">
        <f t="shared" si="10"/>
        <v>-0.00708679302425363</v>
      </c>
    </row>
    <row r="692" ht="14.25" customHeight="1" spans="2:4">
      <c r="B692" s="137">
        <v>45215</v>
      </c>
      <c r="C692" s="132">
        <v>19731.75</v>
      </c>
      <c r="D692" s="135">
        <f t="shared" si="10"/>
        <v>0.00404170942769899</v>
      </c>
    </row>
    <row r="693" ht="14.25" customHeight="1" spans="2:4">
      <c r="B693" s="137">
        <v>45212</v>
      </c>
      <c r="C693" s="132">
        <v>19751.05</v>
      </c>
      <c r="D693" s="135">
        <f t="shared" si="10"/>
        <v>-0.000977163239422651</v>
      </c>
    </row>
    <row r="694" ht="14.25" customHeight="1" spans="2:4">
      <c r="B694" s="137">
        <v>45211</v>
      </c>
      <c r="C694" s="132">
        <v>19794</v>
      </c>
      <c r="D694" s="135">
        <f t="shared" si="10"/>
        <v>-0.00216984944932808</v>
      </c>
    </row>
    <row r="695" ht="14.25" customHeight="1" spans="2:4">
      <c r="B695" s="137">
        <v>45210</v>
      </c>
      <c r="C695" s="132">
        <v>19811.35</v>
      </c>
      <c r="D695" s="135">
        <f t="shared" si="10"/>
        <v>-0.000875760611972365</v>
      </c>
    </row>
    <row r="696" ht="14.25" customHeight="1" spans="2:4">
      <c r="B696" s="137">
        <v>45209</v>
      </c>
      <c r="C696" s="132">
        <v>19689.85</v>
      </c>
      <c r="D696" s="135">
        <f t="shared" si="10"/>
        <v>0.00617069200628761</v>
      </c>
    </row>
    <row r="697" ht="14.25" customHeight="1" spans="2:4">
      <c r="B697" s="137">
        <v>45208</v>
      </c>
      <c r="C697" s="132">
        <v>19512.35</v>
      </c>
      <c r="D697" s="135">
        <f t="shared" si="10"/>
        <v>0.00909680279412783</v>
      </c>
    </row>
    <row r="698" ht="14.25" customHeight="1" spans="2:4">
      <c r="B698" s="137">
        <v>45205</v>
      </c>
      <c r="C698" s="132">
        <v>19653.5</v>
      </c>
      <c r="D698" s="135">
        <f t="shared" si="10"/>
        <v>-0.00718192688325248</v>
      </c>
    </row>
    <row r="699" ht="14.25" customHeight="1" spans="2:4">
      <c r="B699" s="137">
        <v>45204</v>
      </c>
      <c r="C699" s="132">
        <v>19545.75</v>
      </c>
      <c r="D699" s="135">
        <f t="shared" si="10"/>
        <v>0.00551270736605147</v>
      </c>
    </row>
    <row r="700" ht="14.25" customHeight="1" spans="2:4">
      <c r="B700" s="137">
        <v>45203</v>
      </c>
      <c r="C700" s="132">
        <v>19436.1</v>
      </c>
      <c r="D700" s="135">
        <f t="shared" si="10"/>
        <v>0.00564156389399106</v>
      </c>
    </row>
    <row r="701" ht="14.25" customHeight="1" spans="2:4">
      <c r="B701" s="137">
        <v>45202</v>
      </c>
      <c r="C701" s="132">
        <v>19528.75</v>
      </c>
      <c r="D701" s="135">
        <f t="shared" si="10"/>
        <v>-0.00474428726877052</v>
      </c>
    </row>
    <row r="702" ht="14.25" customHeight="1" spans="2:4">
      <c r="B702" s="137">
        <v>45198</v>
      </c>
      <c r="C702" s="132">
        <v>19638.3</v>
      </c>
      <c r="D702" s="135">
        <f t="shared" si="10"/>
        <v>-0.00557838509443276</v>
      </c>
    </row>
    <row r="703" ht="14.25" customHeight="1" spans="2:4">
      <c r="B703" s="137">
        <v>45197</v>
      </c>
      <c r="C703" s="132">
        <v>19523.55</v>
      </c>
      <c r="D703" s="135">
        <f t="shared" si="10"/>
        <v>0.00587751715236218</v>
      </c>
    </row>
    <row r="704" ht="14.25" customHeight="1" spans="2:4">
      <c r="B704" s="137">
        <v>45196</v>
      </c>
      <c r="C704" s="132">
        <v>19716.45</v>
      </c>
      <c r="D704" s="135">
        <f t="shared" si="10"/>
        <v>-0.00978370852765087</v>
      </c>
    </row>
    <row r="705" ht="14.25" customHeight="1" spans="2:4">
      <c r="B705" s="137">
        <v>45195</v>
      </c>
      <c r="C705" s="132">
        <v>19664.7</v>
      </c>
      <c r="D705" s="135">
        <f t="shared" si="10"/>
        <v>0.00263161909411269</v>
      </c>
    </row>
    <row r="706" ht="14.25" customHeight="1" spans="2:4">
      <c r="B706" s="137">
        <v>45194</v>
      </c>
      <c r="C706" s="132">
        <v>19674.55</v>
      </c>
      <c r="D706" s="135">
        <f t="shared" si="10"/>
        <v>-0.000500646774640234</v>
      </c>
    </row>
    <row r="707" ht="14.25" customHeight="1" spans="2:4">
      <c r="B707" s="137">
        <v>45191</v>
      </c>
      <c r="C707" s="132">
        <v>19674.25</v>
      </c>
      <c r="D707" s="135">
        <f t="shared" si="10"/>
        <v>1.52483576247864e-5</v>
      </c>
    </row>
    <row r="708" ht="14.25" customHeight="1" spans="2:4">
      <c r="B708" s="137">
        <v>45190</v>
      </c>
      <c r="C708" s="132">
        <v>19742.35</v>
      </c>
      <c r="D708" s="135">
        <f t="shared" si="10"/>
        <v>-0.0034494373770092</v>
      </c>
    </row>
    <row r="709" ht="14.25" customHeight="1" spans="2:4">
      <c r="B709" s="137">
        <v>45189</v>
      </c>
      <c r="C709" s="132">
        <v>19901.4</v>
      </c>
      <c r="D709" s="135">
        <f t="shared" si="10"/>
        <v>-0.00799190006733208</v>
      </c>
    </row>
    <row r="710" ht="14.25" customHeight="1" spans="2:4">
      <c r="B710" s="137">
        <v>45187</v>
      </c>
      <c r="C710" s="132">
        <v>20133.3</v>
      </c>
      <c r="D710" s="135">
        <f t="shared" si="10"/>
        <v>-0.0115182309904486</v>
      </c>
    </row>
    <row r="711" ht="14.25" customHeight="1" spans="2:4">
      <c r="B711" s="137">
        <v>45184</v>
      </c>
      <c r="C711" s="132">
        <v>20192.35</v>
      </c>
      <c r="D711" s="135">
        <f t="shared" si="10"/>
        <v>-0.00292437482511942</v>
      </c>
    </row>
    <row r="712" ht="14.25" customHeight="1" spans="2:4">
      <c r="B712" s="137">
        <v>45183</v>
      </c>
      <c r="C712" s="132">
        <v>20103.1</v>
      </c>
      <c r="D712" s="135">
        <f t="shared" si="10"/>
        <v>0.00443961379090796</v>
      </c>
    </row>
    <row r="713" ht="14.25" customHeight="1" spans="2:4">
      <c r="B713" s="137">
        <v>45182</v>
      </c>
      <c r="C713" s="132">
        <v>20070</v>
      </c>
      <c r="D713" s="135">
        <f t="shared" ref="D713:D776" si="11">C712/C713-1</f>
        <v>0.00164922770303932</v>
      </c>
    </row>
    <row r="714" ht="14.25" customHeight="1" spans="2:4">
      <c r="B714" s="137">
        <v>45181</v>
      </c>
      <c r="C714" s="132">
        <v>19993.2</v>
      </c>
      <c r="D714" s="135">
        <f t="shared" si="11"/>
        <v>0.00384130604405497</v>
      </c>
    </row>
    <row r="715" ht="14.25" customHeight="1" spans="2:4">
      <c r="B715" s="137">
        <v>45180</v>
      </c>
      <c r="C715" s="132">
        <v>19996.35</v>
      </c>
      <c r="D715" s="135">
        <f t="shared" si="11"/>
        <v>-0.000157528748996549</v>
      </c>
    </row>
    <row r="716" ht="14.25" customHeight="1" spans="2:4">
      <c r="B716" s="137">
        <v>45177</v>
      </c>
      <c r="C716" s="132">
        <v>19819.95</v>
      </c>
      <c r="D716" s="135">
        <f t="shared" si="11"/>
        <v>0.00890012336055324</v>
      </c>
    </row>
    <row r="717" ht="14.25" customHeight="1" spans="2:4">
      <c r="B717" s="137">
        <v>45176</v>
      </c>
      <c r="C717" s="132">
        <v>19727.05</v>
      </c>
      <c r="D717" s="135">
        <f t="shared" si="11"/>
        <v>0.00470926975903652</v>
      </c>
    </row>
    <row r="718" ht="14.25" customHeight="1" spans="2:4">
      <c r="B718" s="137">
        <v>45175</v>
      </c>
      <c r="C718" s="132">
        <v>19611.05</v>
      </c>
      <c r="D718" s="135">
        <f t="shared" si="11"/>
        <v>0.00591503259641879</v>
      </c>
    </row>
    <row r="719" ht="14.25" customHeight="1" spans="2:4">
      <c r="B719" s="137">
        <v>45174</v>
      </c>
      <c r="C719" s="132">
        <v>19574.9</v>
      </c>
      <c r="D719" s="135">
        <f t="shared" si="11"/>
        <v>0.00184675272926027</v>
      </c>
    </row>
    <row r="720" ht="14.25" customHeight="1" spans="2:4">
      <c r="B720" s="137">
        <v>45173</v>
      </c>
      <c r="C720" s="132">
        <v>19528.8</v>
      </c>
      <c r="D720" s="135">
        <f t="shared" si="11"/>
        <v>0.00236061611568572</v>
      </c>
    </row>
    <row r="721" ht="14.25" customHeight="1" spans="2:4">
      <c r="B721" s="137">
        <v>45170</v>
      </c>
      <c r="C721" s="132">
        <v>19435.3</v>
      </c>
      <c r="D721" s="135">
        <f t="shared" si="11"/>
        <v>0.00481083389502612</v>
      </c>
    </row>
    <row r="722" ht="14.25" customHeight="1" spans="2:4">
      <c r="B722" s="137">
        <v>45169</v>
      </c>
      <c r="C722" s="132">
        <v>19253.8</v>
      </c>
      <c r="D722" s="135">
        <f t="shared" si="11"/>
        <v>0.00942671057141964</v>
      </c>
    </row>
    <row r="723" ht="14.25" customHeight="1" spans="2:4">
      <c r="B723" s="137">
        <v>45168</v>
      </c>
      <c r="C723" s="132">
        <v>19347.45</v>
      </c>
      <c r="D723" s="135">
        <f t="shared" si="11"/>
        <v>-0.00484043116793176</v>
      </c>
    </row>
    <row r="724" ht="14.25" customHeight="1" spans="2:4">
      <c r="B724" s="137">
        <v>45167</v>
      </c>
      <c r="C724" s="132">
        <v>19342.65</v>
      </c>
      <c r="D724" s="135">
        <f t="shared" si="11"/>
        <v>0.000248156276414946</v>
      </c>
    </row>
    <row r="725" ht="14.25" customHeight="1" spans="2:4">
      <c r="B725" s="137">
        <v>45166</v>
      </c>
      <c r="C725" s="132">
        <v>19306.05</v>
      </c>
      <c r="D725" s="135">
        <f t="shared" si="11"/>
        <v>0.00189577878437075</v>
      </c>
    </row>
    <row r="726" ht="14.25" customHeight="1" spans="2:4">
      <c r="B726" s="137">
        <v>45163</v>
      </c>
      <c r="C726" s="132">
        <v>19265.8</v>
      </c>
      <c r="D726" s="135">
        <f t="shared" si="11"/>
        <v>0.00208919432362009</v>
      </c>
    </row>
    <row r="727" ht="14.25" customHeight="1" spans="2:4">
      <c r="B727" s="137">
        <v>45162</v>
      </c>
      <c r="C727" s="132">
        <v>19386.7</v>
      </c>
      <c r="D727" s="135">
        <f t="shared" si="11"/>
        <v>-0.00623623411926744</v>
      </c>
    </row>
    <row r="728" ht="14.25" customHeight="1" spans="2:4">
      <c r="B728" s="137">
        <v>45161</v>
      </c>
      <c r="C728" s="132">
        <v>19444</v>
      </c>
      <c r="D728" s="135">
        <f t="shared" si="11"/>
        <v>-0.00294692450113143</v>
      </c>
    </row>
    <row r="729" ht="14.25" customHeight="1" spans="2:4">
      <c r="B729" s="137">
        <v>45160</v>
      </c>
      <c r="C729" s="132">
        <v>19396.45</v>
      </c>
      <c r="D729" s="135">
        <f t="shared" si="11"/>
        <v>0.00245147952331481</v>
      </c>
    </row>
    <row r="730" ht="14.25" customHeight="1" spans="2:4">
      <c r="B730" s="137">
        <v>45159</v>
      </c>
      <c r="C730" s="132">
        <v>19393.6</v>
      </c>
      <c r="D730" s="135">
        <f t="shared" si="11"/>
        <v>0.000146955696724849</v>
      </c>
    </row>
    <row r="731" ht="14.25" customHeight="1" spans="2:4">
      <c r="B731" s="137">
        <v>45156</v>
      </c>
      <c r="C731" s="132">
        <v>19310.15</v>
      </c>
      <c r="D731" s="135">
        <f t="shared" si="11"/>
        <v>0.00432156145861096</v>
      </c>
    </row>
    <row r="732" ht="14.25" customHeight="1" spans="2:4">
      <c r="B732" s="137">
        <v>45155</v>
      </c>
      <c r="C732" s="132">
        <v>19365.25</v>
      </c>
      <c r="D732" s="135">
        <f t="shared" si="11"/>
        <v>-0.0028453027975367</v>
      </c>
    </row>
    <row r="733" ht="14.25" customHeight="1" spans="2:4">
      <c r="B733" s="137">
        <v>45154</v>
      </c>
      <c r="C733" s="132">
        <v>19465</v>
      </c>
      <c r="D733" s="135">
        <f t="shared" si="11"/>
        <v>-0.0051245825841254</v>
      </c>
    </row>
    <row r="734" ht="14.25" customHeight="1" spans="2:4">
      <c r="B734" s="137">
        <v>45152</v>
      </c>
      <c r="C734" s="132">
        <v>19434.55</v>
      </c>
      <c r="D734" s="135">
        <f t="shared" si="11"/>
        <v>0.00156679727598541</v>
      </c>
    </row>
    <row r="735" ht="14.25" customHeight="1" spans="2:4">
      <c r="B735" s="137">
        <v>45149</v>
      </c>
      <c r="C735" s="132">
        <v>19428.3</v>
      </c>
      <c r="D735" s="135">
        <f t="shared" si="11"/>
        <v>0.000321695670748356</v>
      </c>
    </row>
    <row r="736" ht="14.25" customHeight="1" spans="2:4">
      <c r="B736" s="137">
        <v>45148</v>
      </c>
      <c r="C736" s="132">
        <v>19543.1</v>
      </c>
      <c r="D736" s="135">
        <f t="shared" si="11"/>
        <v>-0.00587419600779815</v>
      </c>
    </row>
    <row r="737" ht="14.25" customHeight="1" spans="2:4">
      <c r="B737" s="137">
        <v>45147</v>
      </c>
      <c r="C737" s="132">
        <v>19632.55</v>
      </c>
      <c r="D737" s="135">
        <f t="shared" si="11"/>
        <v>-0.00455620894891395</v>
      </c>
    </row>
    <row r="738" ht="14.25" customHeight="1" spans="2:4">
      <c r="B738" s="137">
        <v>45146</v>
      </c>
      <c r="C738" s="132">
        <v>19570.85</v>
      </c>
      <c r="D738" s="135">
        <f t="shared" si="11"/>
        <v>0.00315264794324221</v>
      </c>
    </row>
    <row r="739" ht="14.25" customHeight="1" spans="2:4">
      <c r="B739" s="137">
        <v>45145</v>
      </c>
      <c r="C739" s="132">
        <v>19597.3</v>
      </c>
      <c r="D739" s="135">
        <f t="shared" si="11"/>
        <v>-0.00134967572063505</v>
      </c>
    </row>
    <row r="740" ht="14.25" customHeight="1" spans="2:4">
      <c r="B740" s="137">
        <v>45142</v>
      </c>
      <c r="C740" s="132">
        <v>19517</v>
      </c>
      <c r="D740" s="135">
        <f t="shared" si="11"/>
        <v>0.0041143618383972</v>
      </c>
    </row>
    <row r="741" ht="14.25" customHeight="1" spans="2:4">
      <c r="B741" s="137">
        <v>45141</v>
      </c>
      <c r="C741" s="132">
        <v>19381.65</v>
      </c>
      <c r="D741" s="135">
        <f t="shared" si="11"/>
        <v>0.00698340956523302</v>
      </c>
    </row>
    <row r="742" ht="14.25" customHeight="1" spans="2:4">
      <c r="B742" s="137">
        <v>45140</v>
      </c>
      <c r="C742" s="132">
        <v>19526.55</v>
      </c>
      <c r="D742" s="135">
        <f t="shared" si="11"/>
        <v>-0.00742066570899613</v>
      </c>
    </row>
    <row r="743" ht="14.25" customHeight="1" spans="2:4">
      <c r="B743" s="137">
        <v>45139</v>
      </c>
      <c r="C743" s="132">
        <v>19733.55</v>
      </c>
      <c r="D743" s="135">
        <f t="shared" si="11"/>
        <v>-0.0104897496902483</v>
      </c>
    </row>
    <row r="744" ht="14.25" customHeight="1" spans="2:4">
      <c r="B744" s="137">
        <v>45138</v>
      </c>
      <c r="C744" s="132">
        <v>19753.8</v>
      </c>
      <c r="D744" s="135">
        <f t="shared" si="11"/>
        <v>-0.00102511921756832</v>
      </c>
    </row>
    <row r="745" ht="14.25" customHeight="1" spans="2:4">
      <c r="B745" s="137">
        <v>45135</v>
      </c>
      <c r="C745" s="132">
        <v>19646.05</v>
      </c>
      <c r="D745" s="135">
        <f t="shared" si="11"/>
        <v>0.00548456305465983</v>
      </c>
    </row>
    <row r="746" ht="14.25" customHeight="1" spans="2:4">
      <c r="B746" s="137">
        <v>45134</v>
      </c>
      <c r="C746" s="132">
        <v>19659.9</v>
      </c>
      <c r="D746" s="135">
        <f t="shared" si="11"/>
        <v>-0.0007044796769059</v>
      </c>
    </row>
    <row r="747" ht="14.25" customHeight="1" spans="2:4">
      <c r="B747" s="137">
        <v>45133</v>
      </c>
      <c r="C747" s="132">
        <v>19778.3</v>
      </c>
      <c r="D747" s="135">
        <f t="shared" si="11"/>
        <v>-0.00598635878715548</v>
      </c>
    </row>
    <row r="748" ht="14.25" customHeight="1" spans="2:4">
      <c r="B748" s="137">
        <v>45132</v>
      </c>
      <c r="C748" s="132">
        <v>19680.6</v>
      </c>
      <c r="D748" s="135">
        <f t="shared" si="11"/>
        <v>0.00496427954432277</v>
      </c>
    </row>
    <row r="749" ht="14.25" customHeight="1" spans="2:4">
      <c r="B749" s="137">
        <v>45131</v>
      </c>
      <c r="C749" s="132">
        <v>19672.35</v>
      </c>
      <c r="D749" s="135">
        <f t="shared" si="11"/>
        <v>0.000419370334505009</v>
      </c>
    </row>
    <row r="750" ht="14.25" customHeight="1" spans="2:4">
      <c r="B750" s="137">
        <v>45128</v>
      </c>
      <c r="C750" s="132">
        <v>19745</v>
      </c>
      <c r="D750" s="135">
        <f t="shared" si="11"/>
        <v>-0.0036794125094961</v>
      </c>
    </row>
    <row r="751" ht="14.25" customHeight="1" spans="2:4">
      <c r="B751" s="137">
        <v>45127</v>
      </c>
      <c r="C751" s="132">
        <v>19979.15</v>
      </c>
      <c r="D751" s="135">
        <f t="shared" si="11"/>
        <v>-0.0117197178058126</v>
      </c>
    </row>
    <row r="752" ht="14.25" customHeight="1" spans="2:4">
      <c r="B752" s="137">
        <v>45126</v>
      </c>
      <c r="C752" s="132">
        <v>19833.15</v>
      </c>
      <c r="D752" s="135">
        <f t="shared" si="11"/>
        <v>0.00736141258448608</v>
      </c>
    </row>
    <row r="753" ht="14.25" customHeight="1" spans="2:4">
      <c r="B753" s="137">
        <v>45125</v>
      </c>
      <c r="C753" s="132">
        <v>19749.25</v>
      </c>
      <c r="D753" s="135">
        <f t="shared" si="11"/>
        <v>0.00424826259225042</v>
      </c>
    </row>
    <row r="754" ht="14.25" customHeight="1" spans="2:4">
      <c r="B754" s="137">
        <v>45124</v>
      </c>
      <c r="C754" s="132">
        <v>19711.45</v>
      </c>
      <c r="D754" s="135">
        <f t="shared" si="11"/>
        <v>0.00191766714270125</v>
      </c>
    </row>
    <row r="755" ht="14.25" customHeight="1" spans="2:4">
      <c r="B755" s="137">
        <v>45121</v>
      </c>
      <c r="C755" s="132">
        <v>19564.5</v>
      </c>
      <c r="D755" s="135">
        <f t="shared" si="11"/>
        <v>0.00751105318306111</v>
      </c>
    </row>
    <row r="756" ht="14.25" customHeight="1" spans="2:4">
      <c r="B756" s="137">
        <v>45120</v>
      </c>
      <c r="C756" s="132">
        <v>19413.75</v>
      </c>
      <c r="D756" s="135">
        <f t="shared" si="11"/>
        <v>0.00776511493142751</v>
      </c>
    </row>
    <row r="757" ht="14.25" customHeight="1" spans="2:4">
      <c r="B757" s="137">
        <v>45119</v>
      </c>
      <c r="C757" s="132">
        <v>19384.3</v>
      </c>
      <c r="D757" s="135">
        <f t="shared" si="11"/>
        <v>0.00151927075003999</v>
      </c>
    </row>
    <row r="758" ht="14.25" customHeight="1" spans="2:4">
      <c r="B758" s="137">
        <v>45118</v>
      </c>
      <c r="C758" s="132">
        <v>19439.4</v>
      </c>
      <c r="D758" s="135">
        <f t="shared" si="11"/>
        <v>-0.00283444962293089</v>
      </c>
    </row>
    <row r="759" ht="14.25" customHeight="1" spans="2:4">
      <c r="B759" s="137">
        <v>45117</v>
      </c>
      <c r="C759" s="132">
        <v>19355.9</v>
      </c>
      <c r="D759" s="135">
        <f t="shared" si="11"/>
        <v>0.00431393011949854</v>
      </c>
    </row>
    <row r="760" ht="14.25" customHeight="1" spans="2:4">
      <c r="B760" s="137">
        <v>45114</v>
      </c>
      <c r="C760" s="132">
        <v>19331.8</v>
      </c>
      <c r="D760" s="135">
        <f t="shared" si="11"/>
        <v>0.00124665059642681</v>
      </c>
    </row>
    <row r="761" ht="14.25" customHeight="1" spans="2:4">
      <c r="B761" s="137">
        <v>45113</v>
      </c>
      <c r="C761" s="132">
        <v>19497.3</v>
      </c>
      <c r="D761" s="135">
        <f t="shared" si="11"/>
        <v>-0.00848835479784382</v>
      </c>
    </row>
    <row r="762" ht="14.25" customHeight="1" spans="2:4">
      <c r="B762" s="137">
        <v>45112</v>
      </c>
      <c r="C762" s="132">
        <v>19398.5</v>
      </c>
      <c r="D762" s="135">
        <f t="shared" si="11"/>
        <v>0.00509317730752379</v>
      </c>
    </row>
    <row r="763" ht="14.25" customHeight="1" spans="2:4">
      <c r="B763" s="137">
        <v>45111</v>
      </c>
      <c r="C763" s="132">
        <v>19389</v>
      </c>
      <c r="D763" s="135">
        <f t="shared" si="11"/>
        <v>0.000489968538862184</v>
      </c>
    </row>
    <row r="764" ht="14.25" customHeight="1" spans="2:4">
      <c r="B764" s="137">
        <v>45110</v>
      </c>
      <c r="C764" s="132">
        <v>19322.55</v>
      </c>
      <c r="D764" s="135">
        <f t="shared" si="11"/>
        <v>0.0034389870902134</v>
      </c>
    </row>
    <row r="765" ht="14.25" customHeight="1" spans="2:4">
      <c r="B765" s="137">
        <v>45107</v>
      </c>
      <c r="C765" s="132">
        <v>19189.05</v>
      </c>
      <c r="D765" s="135">
        <f t="shared" si="11"/>
        <v>0.00695709271694023</v>
      </c>
    </row>
    <row r="766" ht="14.25" customHeight="1" spans="2:4">
      <c r="B766" s="137">
        <v>45105</v>
      </c>
      <c r="C766" s="132">
        <v>18972.1</v>
      </c>
      <c r="D766" s="135">
        <f t="shared" si="11"/>
        <v>0.0114352127597894</v>
      </c>
    </row>
    <row r="767" ht="14.25" customHeight="1" spans="2:4">
      <c r="B767" s="137">
        <v>45104</v>
      </c>
      <c r="C767" s="132">
        <v>18817.4</v>
      </c>
      <c r="D767" s="135">
        <f t="shared" si="11"/>
        <v>0.00822111450040897</v>
      </c>
    </row>
    <row r="768" ht="14.25" customHeight="1" spans="2:4">
      <c r="B768" s="137">
        <v>45103</v>
      </c>
      <c r="C768" s="132">
        <v>18691.2</v>
      </c>
      <c r="D768" s="135">
        <f t="shared" si="11"/>
        <v>0.00675184043828114</v>
      </c>
    </row>
    <row r="769" ht="14.25" customHeight="1" spans="2:4">
      <c r="B769" s="137">
        <v>45100</v>
      </c>
      <c r="C769" s="132">
        <v>18665.5</v>
      </c>
      <c r="D769" s="135">
        <f t="shared" si="11"/>
        <v>0.00137687176877122</v>
      </c>
    </row>
    <row r="770" ht="14.25" customHeight="1" spans="2:4">
      <c r="B770" s="137">
        <v>45099</v>
      </c>
      <c r="C770" s="132">
        <v>18771.25</v>
      </c>
      <c r="D770" s="135">
        <f t="shared" si="11"/>
        <v>-0.00563361523606576</v>
      </c>
    </row>
    <row r="771" ht="14.25" customHeight="1" spans="2:4">
      <c r="B771" s="137">
        <v>45098</v>
      </c>
      <c r="C771" s="132">
        <v>18856.85</v>
      </c>
      <c r="D771" s="135">
        <f t="shared" si="11"/>
        <v>-0.00453946443865216</v>
      </c>
    </row>
    <row r="772" ht="14.25" customHeight="1" spans="2:4">
      <c r="B772" s="137">
        <v>45097</v>
      </c>
      <c r="C772" s="132">
        <v>18816.7</v>
      </c>
      <c r="D772" s="135">
        <f t="shared" si="11"/>
        <v>0.00213374289859525</v>
      </c>
    </row>
    <row r="773" ht="14.25" customHeight="1" spans="2:4">
      <c r="B773" s="137">
        <v>45096</v>
      </c>
      <c r="C773" s="132">
        <v>18755.45</v>
      </c>
      <c r="D773" s="135">
        <f t="shared" si="11"/>
        <v>0.00326571743146653</v>
      </c>
    </row>
    <row r="774" ht="14.25" customHeight="1" spans="2:4">
      <c r="B774" s="137">
        <v>45093</v>
      </c>
      <c r="C774" s="132">
        <v>18826</v>
      </c>
      <c r="D774" s="135">
        <f t="shared" si="11"/>
        <v>-0.00374747689365762</v>
      </c>
    </row>
    <row r="775" ht="14.25" customHeight="1" spans="2:4">
      <c r="B775" s="137">
        <v>45092</v>
      </c>
      <c r="C775" s="132">
        <v>18688.1</v>
      </c>
      <c r="D775" s="135">
        <f t="shared" si="11"/>
        <v>0.00737902729544482</v>
      </c>
    </row>
    <row r="776" ht="14.25" customHeight="1" spans="2:4">
      <c r="B776" s="137">
        <v>45091</v>
      </c>
      <c r="C776" s="132">
        <v>18755.9</v>
      </c>
      <c r="D776" s="135">
        <f t="shared" si="11"/>
        <v>-0.00361486252325949</v>
      </c>
    </row>
    <row r="777" ht="14.25" customHeight="1" spans="2:4">
      <c r="B777" s="137">
        <v>45090</v>
      </c>
      <c r="C777" s="132">
        <v>18716.15</v>
      </c>
      <c r="D777" s="135">
        <f t="shared" ref="D777:D840" si="12">C776/C777-1</f>
        <v>0.00212383422872753</v>
      </c>
    </row>
    <row r="778" ht="14.25" customHeight="1" spans="2:4">
      <c r="B778" s="137">
        <v>45089</v>
      </c>
      <c r="C778" s="132">
        <v>18601.5</v>
      </c>
      <c r="D778" s="135">
        <f t="shared" si="12"/>
        <v>0.00616348143966894</v>
      </c>
    </row>
    <row r="779" ht="14.25" customHeight="1" spans="2:4">
      <c r="B779" s="137">
        <v>45086</v>
      </c>
      <c r="C779" s="132">
        <v>18563.4</v>
      </c>
      <c r="D779" s="135">
        <f t="shared" si="12"/>
        <v>0.0020524257409742</v>
      </c>
    </row>
    <row r="780" ht="14.25" customHeight="1" spans="2:4">
      <c r="B780" s="137">
        <v>45085</v>
      </c>
      <c r="C780" s="132">
        <v>18634.55</v>
      </c>
      <c r="D780" s="135">
        <f t="shared" si="12"/>
        <v>-0.00381817645180582</v>
      </c>
    </row>
    <row r="781" ht="14.25" customHeight="1" spans="2:4">
      <c r="B781" s="137">
        <v>45084</v>
      </c>
      <c r="C781" s="132">
        <v>18726.4</v>
      </c>
      <c r="D781" s="135">
        <f t="shared" si="12"/>
        <v>-0.00490484022556403</v>
      </c>
    </row>
    <row r="782" ht="14.25" customHeight="1" spans="2:4">
      <c r="B782" s="137">
        <v>45083</v>
      </c>
      <c r="C782" s="132">
        <v>18599</v>
      </c>
      <c r="D782" s="135">
        <f t="shared" si="12"/>
        <v>0.00684983063605582</v>
      </c>
    </row>
    <row r="783" ht="14.25" customHeight="1" spans="2:4">
      <c r="B783" s="137">
        <v>45082</v>
      </c>
      <c r="C783" s="132">
        <v>18593.85</v>
      </c>
      <c r="D783" s="135">
        <f t="shared" si="12"/>
        <v>0.000276973300311845</v>
      </c>
    </row>
    <row r="784" ht="14.25" customHeight="1" spans="2:4">
      <c r="B784" s="137">
        <v>45079</v>
      </c>
      <c r="C784" s="132">
        <v>18534.1</v>
      </c>
      <c r="D784" s="135">
        <f t="shared" si="12"/>
        <v>0.00322378750519303</v>
      </c>
    </row>
    <row r="785" ht="14.25" customHeight="1" spans="2:4">
      <c r="B785" s="137">
        <v>45078</v>
      </c>
      <c r="C785" s="132">
        <v>18487.75</v>
      </c>
      <c r="D785" s="135">
        <f t="shared" si="12"/>
        <v>0.00250706548931046</v>
      </c>
    </row>
    <row r="786" ht="14.25" customHeight="1" spans="2:4">
      <c r="B786" s="137">
        <v>45077</v>
      </c>
      <c r="C786" s="132">
        <v>18534.4</v>
      </c>
      <c r="D786" s="135">
        <f t="shared" si="12"/>
        <v>-0.00251694147099457</v>
      </c>
    </row>
    <row r="787" ht="14.25" customHeight="1" spans="2:4">
      <c r="B787" s="137">
        <v>45076</v>
      </c>
      <c r="C787" s="132">
        <v>18633.85</v>
      </c>
      <c r="D787" s="135">
        <f t="shared" si="12"/>
        <v>-0.005337061315831</v>
      </c>
    </row>
    <row r="788" ht="14.25" customHeight="1" spans="2:4">
      <c r="B788" s="137">
        <v>45075</v>
      </c>
      <c r="C788" s="132">
        <v>18598.65</v>
      </c>
      <c r="D788" s="135">
        <f t="shared" si="12"/>
        <v>0.00189261048516953</v>
      </c>
    </row>
    <row r="789" ht="14.25" customHeight="1" spans="2:4">
      <c r="B789" s="137">
        <v>45072</v>
      </c>
      <c r="C789" s="132">
        <v>18499.35</v>
      </c>
      <c r="D789" s="135">
        <f t="shared" si="12"/>
        <v>0.00536775616440588</v>
      </c>
    </row>
    <row r="790" ht="14.25" customHeight="1" spans="2:4">
      <c r="B790" s="137">
        <v>45071</v>
      </c>
      <c r="C790" s="132">
        <v>18321.15</v>
      </c>
      <c r="D790" s="135">
        <f t="shared" si="12"/>
        <v>0.00972646367722541</v>
      </c>
    </row>
    <row r="791" ht="14.25" customHeight="1" spans="2:4">
      <c r="B791" s="137">
        <v>45070</v>
      </c>
      <c r="C791" s="132">
        <v>18285.4</v>
      </c>
      <c r="D791" s="135">
        <f t="shared" si="12"/>
        <v>0.00195511172848284</v>
      </c>
    </row>
    <row r="792" ht="14.25" customHeight="1" spans="2:4">
      <c r="B792" s="137">
        <v>45069</v>
      </c>
      <c r="C792" s="132">
        <v>18348</v>
      </c>
      <c r="D792" s="135">
        <f t="shared" si="12"/>
        <v>-0.00341181600174401</v>
      </c>
    </row>
    <row r="793" ht="14.25" customHeight="1" spans="2:4">
      <c r="B793" s="137">
        <v>45068</v>
      </c>
      <c r="C793" s="132">
        <v>18314.4</v>
      </c>
      <c r="D793" s="135">
        <f t="shared" si="12"/>
        <v>0.00183462193683659</v>
      </c>
    </row>
    <row r="794" ht="14.25" customHeight="1" spans="2:4">
      <c r="B794" s="137">
        <v>45065</v>
      </c>
      <c r="C794" s="132">
        <v>18203.4</v>
      </c>
      <c r="D794" s="135">
        <f t="shared" si="12"/>
        <v>0.00609776195655765</v>
      </c>
    </row>
    <row r="795" ht="14.25" customHeight="1" spans="2:4">
      <c r="B795" s="137">
        <v>45064</v>
      </c>
      <c r="C795" s="132">
        <v>18129.95</v>
      </c>
      <c r="D795" s="135">
        <f t="shared" si="12"/>
        <v>0.00405130736709158</v>
      </c>
    </row>
    <row r="796" ht="14.25" customHeight="1" spans="2:4">
      <c r="B796" s="137">
        <v>45063</v>
      </c>
      <c r="C796" s="132">
        <v>18181.75</v>
      </c>
      <c r="D796" s="135">
        <f t="shared" si="12"/>
        <v>-0.00284901068379007</v>
      </c>
    </row>
    <row r="797" ht="14.25" customHeight="1" spans="2:4">
      <c r="B797" s="137">
        <v>45062</v>
      </c>
      <c r="C797" s="132">
        <v>18286.5</v>
      </c>
      <c r="D797" s="135">
        <f t="shared" si="12"/>
        <v>-0.00572826948842042</v>
      </c>
    </row>
    <row r="798" ht="14.25" customHeight="1" spans="2:4">
      <c r="B798" s="137">
        <v>45061</v>
      </c>
      <c r="C798" s="132">
        <v>18398.85</v>
      </c>
      <c r="D798" s="135">
        <f t="shared" si="12"/>
        <v>-0.00610635990836372</v>
      </c>
    </row>
    <row r="799" ht="14.25" customHeight="1" spans="2:4">
      <c r="B799" s="137">
        <v>45058</v>
      </c>
      <c r="C799" s="132">
        <v>18314.8</v>
      </c>
      <c r="D799" s="135">
        <f t="shared" si="12"/>
        <v>0.00458918470308167</v>
      </c>
    </row>
    <row r="800" ht="14.25" customHeight="1" spans="2:4">
      <c r="B800" s="137">
        <v>45057</v>
      </c>
      <c r="C800" s="132">
        <v>18297</v>
      </c>
      <c r="D800" s="135">
        <f t="shared" si="12"/>
        <v>0.000972837077116484</v>
      </c>
    </row>
    <row r="801" ht="14.25" customHeight="1" spans="2:4">
      <c r="B801" s="137">
        <v>45056</v>
      </c>
      <c r="C801" s="132">
        <v>18315.1</v>
      </c>
      <c r="D801" s="135">
        <f t="shared" si="12"/>
        <v>-0.000988255592380027</v>
      </c>
    </row>
    <row r="802" ht="14.25" customHeight="1" spans="2:4">
      <c r="B802" s="137">
        <v>45055</v>
      </c>
      <c r="C802" s="132">
        <v>18265.95</v>
      </c>
      <c r="D802" s="135">
        <f t="shared" si="12"/>
        <v>0.00269079900032554</v>
      </c>
    </row>
    <row r="803" ht="14.25" customHeight="1" spans="2:4">
      <c r="B803" s="137">
        <v>45054</v>
      </c>
      <c r="C803" s="132">
        <v>18264.4</v>
      </c>
      <c r="D803" s="135">
        <f t="shared" si="12"/>
        <v>8.48645452355967e-5</v>
      </c>
    </row>
    <row r="804" ht="14.25" customHeight="1" spans="2:4">
      <c r="B804" s="137">
        <v>45051</v>
      </c>
      <c r="C804" s="132">
        <v>18069</v>
      </c>
      <c r="D804" s="135">
        <f t="shared" si="12"/>
        <v>0.0108141014998064</v>
      </c>
    </row>
    <row r="805" ht="14.25" customHeight="1" spans="2:4">
      <c r="B805" s="137">
        <v>45050</v>
      </c>
      <c r="C805" s="132">
        <v>18255.8</v>
      </c>
      <c r="D805" s="135">
        <f t="shared" si="12"/>
        <v>-0.0102323645088136</v>
      </c>
    </row>
    <row r="806" ht="14.25" customHeight="1" spans="2:4">
      <c r="B806" s="137">
        <v>45049</v>
      </c>
      <c r="C806" s="132">
        <v>18089.85</v>
      </c>
      <c r="D806" s="135">
        <f t="shared" si="12"/>
        <v>0.00917365262840764</v>
      </c>
    </row>
    <row r="807" ht="14.25" customHeight="1" spans="2:4">
      <c r="B807" s="137">
        <v>45048</v>
      </c>
      <c r="C807" s="132">
        <v>18147.65</v>
      </c>
      <c r="D807" s="135">
        <f t="shared" si="12"/>
        <v>-0.00318498538378265</v>
      </c>
    </row>
    <row r="808" ht="14.25" customHeight="1" spans="2:4">
      <c r="B808" s="137">
        <v>45044</v>
      </c>
      <c r="C808" s="132">
        <v>18065</v>
      </c>
      <c r="D808" s="135">
        <f t="shared" si="12"/>
        <v>0.00457514530860781</v>
      </c>
    </row>
    <row r="809" ht="14.25" customHeight="1" spans="2:4">
      <c r="B809" s="137">
        <v>45043</v>
      </c>
      <c r="C809" s="132">
        <v>17915.05</v>
      </c>
      <c r="D809" s="135">
        <f t="shared" si="12"/>
        <v>0.00837005757728848</v>
      </c>
    </row>
    <row r="810" ht="14.25" customHeight="1" spans="2:4">
      <c r="B810" s="137">
        <v>45042</v>
      </c>
      <c r="C810" s="132">
        <v>17813.6</v>
      </c>
      <c r="D810" s="135">
        <f t="shared" si="12"/>
        <v>0.00569508689989684</v>
      </c>
    </row>
    <row r="811" ht="14.25" customHeight="1" spans="2:4">
      <c r="B811" s="137">
        <v>45041</v>
      </c>
      <c r="C811" s="132">
        <v>17769.25</v>
      </c>
      <c r="D811" s="135">
        <f t="shared" si="12"/>
        <v>0.00249588474471341</v>
      </c>
    </row>
    <row r="812" ht="14.25" customHeight="1" spans="2:4">
      <c r="B812" s="137">
        <v>45040</v>
      </c>
      <c r="C812" s="132">
        <v>17743.4</v>
      </c>
      <c r="D812" s="135">
        <f t="shared" si="12"/>
        <v>0.00145687974119957</v>
      </c>
    </row>
    <row r="813" ht="14.25" customHeight="1" spans="2:4">
      <c r="B813" s="137">
        <v>45037</v>
      </c>
      <c r="C813" s="132">
        <v>17624.05</v>
      </c>
      <c r="D813" s="135">
        <f t="shared" si="12"/>
        <v>0.00677199622107305</v>
      </c>
    </row>
    <row r="814" ht="14.25" customHeight="1" spans="2:4">
      <c r="B814" s="137">
        <v>45036</v>
      </c>
      <c r="C814" s="132">
        <v>17624.45</v>
      </c>
      <c r="D814" s="135">
        <f t="shared" si="12"/>
        <v>-2.26957436970654e-5</v>
      </c>
    </row>
    <row r="815" ht="14.25" customHeight="1" spans="2:4">
      <c r="B815" s="137">
        <v>45035</v>
      </c>
      <c r="C815" s="132">
        <v>17618.75</v>
      </c>
      <c r="D815" s="135">
        <f t="shared" si="12"/>
        <v>0.000323518978361248</v>
      </c>
    </row>
    <row r="816" ht="14.25" customHeight="1" spans="2:4">
      <c r="B816" s="137">
        <v>45034</v>
      </c>
      <c r="C816" s="132">
        <v>17660.15</v>
      </c>
      <c r="D816" s="135">
        <f t="shared" si="12"/>
        <v>-0.00234426094908602</v>
      </c>
    </row>
    <row r="817" ht="14.25" customHeight="1" spans="2:4">
      <c r="B817" s="137">
        <v>45033</v>
      </c>
      <c r="C817" s="132">
        <v>17706.85</v>
      </c>
      <c r="D817" s="135">
        <f t="shared" si="12"/>
        <v>-0.00263739739140489</v>
      </c>
    </row>
    <row r="818" ht="14.25" customHeight="1" spans="2:4">
      <c r="B818" s="137">
        <v>45029</v>
      </c>
      <c r="C818" s="132">
        <v>17828</v>
      </c>
      <c r="D818" s="135">
        <f t="shared" si="12"/>
        <v>-0.00679549024007187</v>
      </c>
    </row>
    <row r="819" ht="14.25" customHeight="1" spans="2:4">
      <c r="B819" s="137">
        <v>45028</v>
      </c>
      <c r="C819" s="132">
        <v>17812.4</v>
      </c>
      <c r="D819" s="135">
        <f t="shared" si="12"/>
        <v>0.000875794390424511</v>
      </c>
    </row>
    <row r="820" ht="14.25" customHeight="1" spans="2:4">
      <c r="B820" s="137">
        <v>45027</v>
      </c>
      <c r="C820" s="132">
        <v>17722.3</v>
      </c>
      <c r="D820" s="135">
        <f t="shared" si="12"/>
        <v>0.00508399022700234</v>
      </c>
    </row>
    <row r="821" ht="14.25" customHeight="1" spans="2:4">
      <c r="B821" s="137">
        <v>45026</v>
      </c>
      <c r="C821" s="132">
        <v>17624.05</v>
      </c>
      <c r="D821" s="135">
        <f t="shared" si="12"/>
        <v>0.0055747685690859</v>
      </c>
    </row>
    <row r="822" ht="14.25" customHeight="1" spans="2:4">
      <c r="B822" s="137">
        <v>45022</v>
      </c>
      <c r="C822" s="132">
        <v>17599.15</v>
      </c>
      <c r="D822" s="135">
        <f t="shared" si="12"/>
        <v>0.00141484105766465</v>
      </c>
    </row>
    <row r="823" ht="14.25" customHeight="1" spans="2:4">
      <c r="B823" s="137">
        <v>45021</v>
      </c>
      <c r="C823" s="132">
        <v>17557.05</v>
      </c>
      <c r="D823" s="135">
        <f t="shared" si="12"/>
        <v>0.00239789714103456</v>
      </c>
    </row>
    <row r="824" ht="14.25" customHeight="1" spans="2:4">
      <c r="B824" s="137">
        <v>45019</v>
      </c>
      <c r="C824" s="132">
        <v>17398.05</v>
      </c>
      <c r="D824" s="135">
        <f t="shared" si="12"/>
        <v>0.009138955227741</v>
      </c>
    </row>
    <row r="825" ht="14.25" customHeight="1" spans="2:4">
      <c r="B825" s="137">
        <v>45016</v>
      </c>
      <c r="C825" s="132">
        <v>17359.75</v>
      </c>
      <c r="D825" s="135">
        <f t="shared" si="12"/>
        <v>0.00220625297023291</v>
      </c>
    </row>
    <row r="826" ht="14.25" customHeight="1" spans="2:4">
      <c r="B826" s="137">
        <v>45014</v>
      </c>
      <c r="C826" s="132">
        <v>17080.7</v>
      </c>
      <c r="D826" s="135">
        <f t="shared" si="12"/>
        <v>0.0163371524586229</v>
      </c>
    </row>
    <row r="827" ht="14.25" customHeight="1" spans="2:4">
      <c r="B827" s="137">
        <v>45013</v>
      </c>
      <c r="C827" s="132">
        <v>16951.7</v>
      </c>
      <c r="D827" s="135">
        <f t="shared" si="12"/>
        <v>0.00760985623860733</v>
      </c>
    </row>
    <row r="828" ht="14.25" customHeight="1" spans="2:4">
      <c r="B828" s="137">
        <v>45012</v>
      </c>
      <c r="C828" s="132">
        <v>16985.7</v>
      </c>
      <c r="D828" s="135">
        <f t="shared" si="12"/>
        <v>-0.00200168376928833</v>
      </c>
    </row>
    <row r="829" ht="14.25" customHeight="1" spans="2:4">
      <c r="B829" s="137">
        <v>45009</v>
      </c>
      <c r="C829" s="132">
        <v>16945.05</v>
      </c>
      <c r="D829" s="135">
        <f t="shared" si="12"/>
        <v>0.0023989306611667</v>
      </c>
    </row>
    <row r="830" ht="14.25" customHeight="1" spans="2:4">
      <c r="B830" s="137">
        <v>45008</v>
      </c>
      <c r="C830" s="132">
        <v>17076.9</v>
      </c>
      <c r="D830" s="135">
        <f t="shared" si="12"/>
        <v>-0.00772095637967096</v>
      </c>
    </row>
    <row r="831" ht="14.25" customHeight="1" spans="2:4">
      <c r="B831" s="137">
        <v>45007</v>
      </c>
      <c r="C831" s="132">
        <v>17151.9</v>
      </c>
      <c r="D831" s="135">
        <f t="shared" si="12"/>
        <v>-0.0043726934042293</v>
      </c>
    </row>
    <row r="832" ht="14.25" customHeight="1" spans="2:4">
      <c r="B832" s="137">
        <v>45006</v>
      </c>
      <c r="C832" s="132">
        <v>17107.5</v>
      </c>
      <c r="D832" s="135">
        <f t="shared" si="12"/>
        <v>0.00259535291538815</v>
      </c>
    </row>
    <row r="833" ht="14.25" customHeight="1" spans="2:4">
      <c r="B833" s="137">
        <v>45005</v>
      </c>
      <c r="C833" s="132">
        <v>16988.4</v>
      </c>
      <c r="D833" s="135">
        <f t="shared" si="12"/>
        <v>0.00701066610157519</v>
      </c>
    </row>
    <row r="834" ht="14.25" customHeight="1" spans="2:4">
      <c r="B834" s="137">
        <v>45002</v>
      </c>
      <c r="C834" s="132">
        <v>17100.05</v>
      </c>
      <c r="D834" s="135">
        <f t="shared" si="12"/>
        <v>-0.00652922067479322</v>
      </c>
    </row>
    <row r="835" ht="14.25" customHeight="1" spans="2:4">
      <c r="B835" s="137">
        <v>45001</v>
      </c>
      <c r="C835" s="132">
        <v>16985.6</v>
      </c>
      <c r="D835" s="135">
        <f t="shared" si="12"/>
        <v>0.00673806047475511</v>
      </c>
    </row>
    <row r="836" ht="14.25" customHeight="1" spans="2:4">
      <c r="B836" s="137">
        <v>45000</v>
      </c>
      <c r="C836" s="132">
        <v>16972.15</v>
      </c>
      <c r="D836" s="135">
        <f t="shared" si="12"/>
        <v>0.000792474730661574</v>
      </c>
    </row>
    <row r="837" ht="14.25" customHeight="1" spans="2:4">
      <c r="B837" s="137">
        <v>44999</v>
      </c>
      <c r="C837" s="132">
        <v>17043.3</v>
      </c>
      <c r="D837" s="135">
        <f t="shared" si="12"/>
        <v>-0.00417466101048491</v>
      </c>
    </row>
    <row r="838" ht="14.25" customHeight="1" spans="2:4">
      <c r="B838" s="137">
        <v>44998</v>
      </c>
      <c r="C838" s="132">
        <v>17154.3</v>
      </c>
      <c r="D838" s="135">
        <f t="shared" si="12"/>
        <v>-0.00647068082055224</v>
      </c>
    </row>
    <row r="839" ht="14.25" customHeight="1" spans="2:4">
      <c r="B839" s="137">
        <v>44995</v>
      </c>
      <c r="C839" s="132">
        <v>17412.9</v>
      </c>
      <c r="D839" s="135">
        <f t="shared" si="12"/>
        <v>-0.0148510586978621</v>
      </c>
    </row>
    <row r="840" ht="14.25" customHeight="1" spans="2:4">
      <c r="B840" s="137">
        <v>44994</v>
      </c>
      <c r="C840" s="132">
        <v>17589.6</v>
      </c>
      <c r="D840" s="135">
        <f t="shared" si="12"/>
        <v>-0.0100457088279436</v>
      </c>
    </row>
    <row r="841" ht="14.25" customHeight="1" spans="2:4">
      <c r="B841" s="137">
        <v>44993</v>
      </c>
      <c r="C841" s="132">
        <v>17754.4</v>
      </c>
      <c r="D841" s="135">
        <f t="shared" ref="D841:D904" si="13">C840/C841-1</f>
        <v>-0.00928220610102304</v>
      </c>
    </row>
    <row r="842" ht="14.25" customHeight="1" spans="2:4">
      <c r="B842" s="137">
        <v>44991</v>
      </c>
      <c r="C842" s="132">
        <v>17711.45</v>
      </c>
      <c r="D842" s="135">
        <f t="shared" si="13"/>
        <v>0.00242498496735166</v>
      </c>
    </row>
    <row r="843" ht="14.25" customHeight="1" spans="2:4">
      <c r="B843" s="137">
        <v>44988</v>
      </c>
      <c r="C843" s="132">
        <v>17594.35</v>
      </c>
      <c r="D843" s="135">
        <f t="shared" si="13"/>
        <v>0.00665554567233251</v>
      </c>
    </row>
    <row r="844" ht="14.25" customHeight="1" spans="2:4">
      <c r="B844" s="137">
        <v>44987</v>
      </c>
      <c r="C844" s="132">
        <v>17321.9</v>
      </c>
      <c r="D844" s="135">
        <f t="shared" si="13"/>
        <v>0.0157286440863875</v>
      </c>
    </row>
    <row r="845" ht="14.25" customHeight="1" spans="2:4">
      <c r="B845" s="137">
        <v>44986</v>
      </c>
      <c r="C845" s="132">
        <v>17450.9</v>
      </c>
      <c r="D845" s="135">
        <f t="shared" si="13"/>
        <v>-0.00739216888527239</v>
      </c>
    </row>
    <row r="846" ht="14.25" customHeight="1" spans="2:4">
      <c r="B846" s="137">
        <v>44985</v>
      </c>
      <c r="C846" s="132">
        <v>17303.95</v>
      </c>
      <c r="D846" s="135">
        <f t="shared" si="13"/>
        <v>0.00849228066424135</v>
      </c>
    </row>
    <row r="847" ht="14.25" customHeight="1" spans="2:4">
      <c r="B847" s="137">
        <v>44984</v>
      </c>
      <c r="C847" s="132">
        <v>17392.7</v>
      </c>
      <c r="D847" s="135">
        <f t="shared" si="13"/>
        <v>-0.00510271550708052</v>
      </c>
    </row>
    <row r="848" ht="14.25" customHeight="1" spans="2:4">
      <c r="B848" s="137">
        <v>44981</v>
      </c>
      <c r="C848" s="132">
        <v>17465.8</v>
      </c>
      <c r="D848" s="135">
        <f t="shared" si="13"/>
        <v>-0.00418532217247414</v>
      </c>
    </row>
    <row r="849" ht="14.25" customHeight="1" spans="2:4">
      <c r="B849" s="137">
        <v>44980</v>
      </c>
      <c r="C849" s="132">
        <v>17511.25</v>
      </c>
      <c r="D849" s="135">
        <f t="shared" si="13"/>
        <v>-0.00259547433792562</v>
      </c>
    </row>
    <row r="850" ht="14.25" customHeight="1" spans="2:4">
      <c r="B850" s="137">
        <v>44979</v>
      </c>
      <c r="C850" s="132">
        <v>17554.3</v>
      </c>
      <c r="D850" s="135">
        <f t="shared" si="13"/>
        <v>-0.00245239058236435</v>
      </c>
    </row>
    <row r="851" ht="14.25" customHeight="1" spans="2:4">
      <c r="B851" s="137">
        <v>44978</v>
      </c>
      <c r="C851" s="132">
        <v>17826.7</v>
      </c>
      <c r="D851" s="135">
        <f t="shared" si="13"/>
        <v>-0.0152804501113499</v>
      </c>
    </row>
    <row r="852" ht="14.25" customHeight="1" spans="2:4">
      <c r="B852" s="137">
        <v>44977</v>
      </c>
      <c r="C852" s="132">
        <v>17844.6</v>
      </c>
      <c r="D852" s="135">
        <f t="shared" si="13"/>
        <v>-0.00100310458065733</v>
      </c>
    </row>
    <row r="853" ht="14.25" customHeight="1" spans="2:4">
      <c r="B853" s="137">
        <v>44974</v>
      </c>
      <c r="C853" s="132">
        <v>17944.2</v>
      </c>
      <c r="D853" s="135">
        <f t="shared" si="13"/>
        <v>-0.00555054000735622</v>
      </c>
    </row>
    <row r="854" ht="14.25" customHeight="1" spans="2:4">
      <c r="B854" s="137">
        <v>44973</v>
      </c>
      <c r="C854" s="132">
        <v>18035.85</v>
      </c>
      <c r="D854" s="135">
        <f t="shared" si="13"/>
        <v>-0.00508154592104049</v>
      </c>
    </row>
    <row r="855" ht="14.25" customHeight="1" spans="2:4">
      <c r="B855" s="137">
        <v>44972</v>
      </c>
      <c r="C855" s="132">
        <v>18015.85</v>
      </c>
      <c r="D855" s="135">
        <f t="shared" si="13"/>
        <v>0.00111013357682266</v>
      </c>
    </row>
    <row r="856" ht="14.25" customHeight="1" spans="2:4">
      <c r="B856" s="137">
        <v>44971</v>
      </c>
      <c r="C856" s="132">
        <v>17929.85</v>
      </c>
      <c r="D856" s="135">
        <f t="shared" si="13"/>
        <v>0.00479647068993883</v>
      </c>
    </row>
    <row r="857" ht="14.25" customHeight="1" spans="2:4">
      <c r="B857" s="137">
        <v>44970</v>
      </c>
      <c r="C857" s="132">
        <v>17770.9</v>
      </c>
      <c r="D857" s="135">
        <f t="shared" si="13"/>
        <v>0.00894439786392343</v>
      </c>
    </row>
    <row r="858" ht="14.25" customHeight="1" spans="2:4">
      <c r="B858" s="137">
        <v>44967</v>
      </c>
      <c r="C858" s="132">
        <v>17856.5</v>
      </c>
      <c r="D858" s="135">
        <f t="shared" si="13"/>
        <v>-0.00479377257581259</v>
      </c>
    </row>
    <row r="859" ht="14.25" customHeight="1" spans="2:4">
      <c r="B859" s="137">
        <v>44966</v>
      </c>
      <c r="C859" s="132">
        <v>17893.45</v>
      </c>
      <c r="D859" s="135">
        <f t="shared" si="13"/>
        <v>-0.00206500143907407</v>
      </c>
    </row>
    <row r="860" ht="14.25" customHeight="1" spans="2:4">
      <c r="B860" s="137">
        <v>44965</v>
      </c>
      <c r="C860" s="132">
        <v>17871.7</v>
      </c>
      <c r="D860" s="135">
        <f t="shared" si="13"/>
        <v>0.00121700789516388</v>
      </c>
    </row>
    <row r="861" ht="14.25" customHeight="1" spans="2:4">
      <c r="B861" s="137">
        <v>44964</v>
      </c>
      <c r="C861" s="132">
        <v>17721.5</v>
      </c>
      <c r="D861" s="135">
        <f t="shared" si="13"/>
        <v>0.00847558050955066</v>
      </c>
    </row>
    <row r="862" ht="14.25" customHeight="1" spans="2:4">
      <c r="B862" s="137">
        <v>44963</v>
      </c>
      <c r="C862" s="132">
        <v>17764.6</v>
      </c>
      <c r="D862" s="135">
        <f t="shared" si="13"/>
        <v>-0.00242617340103346</v>
      </c>
    </row>
    <row r="863" ht="14.25" customHeight="1" spans="2:4">
      <c r="B863" s="137">
        <v>44960</v>
      </c>
      <c r="C863" s="132">
        <v>17854.05</v>
      </c>
      <c r="D863" s="135">
        <f t="shared" si="13"/>
        <v>-0.00501006774373325</v>
      </c>
    </row>
    <row r="864" ht="14.25" customHeight="1" spans="2:4">
      <c r="B864" s="137">
        <v>44959</v>
      </c>
      <c r="C864" s="132">
        <v>17610.4</v>
      </c>
      <c r="D864" s="135">
        <f t="shared" si="13"/>
        <v>0.0138355744332892</v>
      </c>
    </row>
    <row r="865" ht="14.25" customHeight="1" spans="2:4">
      <c r="B865" s="137">
        <v>44958</v>
      </c>
      <c r="C865" s="132">
        <v>17616.3</v>
      </c>
      <c r="D865" s="135">
        <f t="shared" si="13"/>
        <v>-0.000334917093827714</v>
      </c>
    </row>
    <row r="866" ht="14.25" customHeight="1" spans="2:4">
      <c r="B866" s="137">
        <v>44957</v>
      </c>
      <c r="C866" s="132">
        <v>17662.15</v>
      </c>
      <c r="D866" s="135">
        <f t="shared" si="13"/>
        <v>-0.00259594669958085</v>
      </c>
    </row>
    <row r="867" ht="14.25" customHeight="1" spans="2:4">
      <c r="B867" s="137">
        <v>44956</v>
      </c>
      <c r="C867" s="132">
        <v>17648.95</v>
      </c>
      <c r="D867" s="135">
        <f t="shared" si="13"/>
        <v>0.000747919847922995</v>
      </c>
    </row>
    <row r="868" ht="14.25" customHeight="1" spans="2:4">
      <c r="B868" s="137">
        <v>44953</v>
      </c>
      <c r="C868" s="132">
        <v>17604.35</v>
      </c>
      <c r="D868" s="135">
        <f t="shared" si="13"/>
        <v>0.00253346474024907</v>
      </c>
    </row>
    <row r="869" ht="14.25" customHeight="1" spans="2:4">
      <c r="B869" s="137">
        <v>44951</v>
      </c>
      <c r="C869" s="132">
        <v>17891.95</v>
      </c>
      <c r="D869" s="135">
        <f t="shared" si="13"/>
        <v>-0.0160742680367429</v>
      </c>
    </row>
    <row r="870" ht="14.25" customHeight="1" spans="2:4">
      <c r="B870" s="137">
        <v>44950</v>
      </c>
      <c r="C870" s="132">
        <v>18118.3</v>
      </c>
      <c r="D870" s="135">
        <f t="shared" si="13"/>
        <v>-0.0124928939249267</v>
      </c>
    </row>
    <row r="871" ht="14.25" customHeight="1" spans="2:4">
      <c r="B871" s="137">
        <v>44949</v>
      </c>
      <c r="C871" s="132">
        <v>18118.55</v>
      </c>
      <c r="D871" s="135">
        <f t="shared" si="13"/>
        <v>-1.37980136379889e-5</v>
      </c>
    </row>
    <row r="872" ht="14.25" customHeight="1" spans="2:4">
      <c r="B872" s="137">
        <v>44946</v>
      </c>
      <c r="C872" s="132">
        <v>18027.65</v>
      </c>
      <c r="D872" s="135">
        <f t="shared" si="13"/>
        <v>0.00504225453678098</v>
      </c>
    </row>
    <row r="873" ht="14.25" customHeight="1" spans="2:4">
      <c r="B873" s="137">
        <v>44945</v>
      </c>
      <c r="C873" s="132">
        <v>18107.85</v>
      </c>
      <c r="D873" s="135">
        <f t="shared" si="13"/>
        <v>-0.00442901835391818</v>
      </c>
    </row>
    <row r="874" ht="14.25" customHeight="1" spans="2:4">
      <c r="B874" s="137">
        <v>44944</v>
      </c>
      <c r="C874" s="132">
        <v>18165.35</v>
      </c>
      <c r="D874" s="135">
        <f t="shared" si="13"/>
        <v>-0.00316536703118853</v>
      </c>
    </row>
    <row r="875" ht="14.25" customHeight="1" spans="2:4">
      <c r="B875" s="137">
        <v>44943</v>
      </c>
      <c r="C875" s="132">
        <v>18053.3</v>
      </c>
      <c r="D875" s="135">
        <f t="shared" si="13"/>
        <v>0.00620662150410167</v>
      </c>
    </row>
    <row r="876" ht="14.25" customHeight="1" spans="2:4">
      <c r="B876" s="137">
        <v>44942</v>
      </c>
      <c r="C876" s="132">
        <v>17894.85</v>
      </c>
      <c r="D876" s="135">
        <f t="shared" si="13"/>
        <v>0.00885450283182032</v>
      </c>
    </row>
    <row r="877" ht="14.25" customHeight="1" spans="2:4">
      <c r="B877" s="137">
        <v>44939</v>
      </c>
      <c r="C877" s="132">
        <v>17956.6</v>
      </c>
      <c r="D877" s="135">
        <f t="shared" si="13"/>
        <v>-0.00343884699776131</v>
      </c>
    </row>
    <row r="878" ht="14.25" customHeight="1" spans="2:4">
      <c r="B878" s="137">
        <v>44938</v>
      </c>
      <c r="C878" s="132">
        <v>17858.2</v>
      </c>
      <c r="D878" s="135">
        <f t="shared" si="13"/>
        <v>0.00551007380363067</v>
      </c>
    </row>
    <row r="879" ht="14.25" customHeight="1" spans="2:4">
      <c r="B879" s="137">
        <v>44937</v>
      </c>
      <c r="C879" s="132">
        <v>17895.7</v>
      </c>
      <c r="D879" s="135">
        <f t="shared" si="13"/>
        <v>-0.00209547544940969</v>
      </c>
    </row>
    <row r="880" ht="14.25" customHeight="1" spans="2:4">
      <c r="B880" s="137">
        <v>44936</v>
      </c>
      <c r="C880" s="132">
        <v>17914.15</v>
      </c>
      <c r="D880" s="135">
        <f t="shared" si="13"/>
        <v>-0.00102991210858461</v>
      </c>
    </row>
    <row r="881" ht="14.25" customHeight="1" spans="2:4">
      <c r="B881" s="137">
        <v>44935</v>
      </c>
      <c r="C881" s="132">
        <v>18101.2</v>
      </c>
      <c r="D881" s="135">
        <f t="shared" si="13"/>
        <v>-0.0103335690451462</v>
      </c>
    </row>
    <row r="882" ht="14.25" customHeight="1" spans="2:4">
      <c r="B882" s="137">
        <v>44932</v>
      </c>
      <c r="C882" s="132">
        <v>17859.45</v>
      </c>
      <c r="D882" s="135">
        <f t="shared" si="13"/>
        <v>0.0135362511163557</v>
      </c>
    </row>
    <row r="883" ht="14.25" customHeight="1" spans="2:4">
      <c r="B883" s="137">
        <v>44931</v>
      </c>
      <c r="C883" s="132">
        <v>17992.15</v>
      </c>
      <c r="D883" s="135">
        <f t="shared" si="13"/>
        <v>-0.00737543873300306</v>
      </c>
    </row>
    <row r="884" ht="14.25" customHeight="1" spans="2:4">
      <c r="B884" s="137">
        <v>44930</v>
      </c>
      <c r="C884" s="132">
        <v>18042.95</v>
      </c>
      <c r="D884" s="135">
        <f t="shared" si="13"/>
        <v>-0.00281550411656628</v>
      </c>
    </row>
    <row r="885" ht="14.25" customHeight="1" spans="2:4">
      <c r="B885" s="137">
        <v>44929</v>
      </c>
      <c r="C885" s="132">
        <v>18232.55</v>
      </c>
      <c r="D885" s="135">
        <f t="shared" si="13"/>
        <v>-0.0103989842342403</v>
      </c>
    </row>
    <row r="886" ht="14.25" customHeight="1" spans="2:4">
      <c r="B886" s="137">
        <v>44928</v>
      </c>
      <c r="C886" s="132">
        <v>18197.45</v>
      </c>
      <c r="D886" s="135">
        <f t="shared" si="13"/>
        <v>0.00192884167836693</v>
      </c>
    </row>
    <row r="887" ht="14.25" customHeight="1" spans="2:4">
      <c r="B887" s="137">
        <v>44925</v>
      </c>
      <c r="C887" s="132">
        <v>18105.3</v>
      </c>
      <c r="D887" s="135">
        <f t="shared" si="13"/>
        <v>0.00508966987567194</v>
      </c>
    </row>
    <row r="888" ht="14.25" customHeight="1" spans="2:4">
      <c r="B888" s="137">
        <v>44924</v>
      </c>
      <c r="C888" s="132">
        <v>18191</v>
      </c>
      <c r="D888" s="135">
        <f t="shared" si="13"/>
        <v>-0.00471112088395365</v>
      </c>
    </row>
    <row r="889" ht="14.25" customHeight="1" spans="2:4">
      <c r="B889" s="137">
        <v>44923</v>
      </c>
      <c r="C889" s="132">
        <v>18122.5</v>
      </c>
      <c r="D889" s="135">
        <f t="shared" si="13"/>
        <v>0.00377983170092433</v>
      </c>
    </row>
    <row r="890" ht="14.25" customHeight="1" spans="2:4">
      <c r="B890" s="137">
        <v>44922</v>
      </c>
      <c r="C890" s="132">
        <v>18132.3</v>
      </c>
      <c r="D890" s="135">
        <f t="shared" si="13"/>
        <v>-0.000540471975425061</v>
      </c>
    </row>
    <row r="891" ht="14.25" customHeight="1" spans="2:4">
      <c r="B891" s="137">
        <v>44921</v>
      </c>
      <c r="C891" s="132">
        <v>18014.6</v>
      </c>
      <c r="D891" s="135">
        <f t="shared" si="13"/>
        <v>0.0065335894219134</v>
      </c>
    </row>
    <row r="892" ht="14.25" customHeight="1" spans="2:4">
      <c r="B892" s="137">
        <v>44918</v>
      </c>
      <c r="C892" s="132">
        <v>17806.8</v>
      </c>
      <c r="D892" s="135">
        <f t="shared" si="13"/>
        <v>0.0116696992160299</v>
      </c>
    </row>
    <row r="893" ht="14.25" customHeight="1" spans="2:4">
      <c r="B893" s="137">
        <v>44917</v>
      </c>
      <c r="C893" s="132">
        <v>18127.35</v>
      </c>
      <c r="D893" s="135">
        <f t="shared" si="13"/>
        <v>-0.0176832245198553</v>
      </c>
    </row>
    <row r="894" ht="14.25" customHeight="1" spans="2:4">
      <c r="B894" s="137">
        <v>44916</v>
      </c>
      <c r="C894" s="132">
        <v>18199.1</v>
      </c>
      <c r="D894" s="135">
        <f t="shared" si="13"/>
        <v>-0.00394250265122997</v>
      </c>
    </row>
    <row r="895" ht="14.25" customHeight="1" spans="2:4">
      <c r="B895" s="137">
        <v>44915</v>
      </c>
      <c r="C895" s="132">
        <v>18385.3</v>
      </c>
      <c r="D895" s="135">
        <f t="shared" si="13"/>
        <v>-0.0101276563341366</v>
      </c>
    </row>
    <row r="896" ht="14.25" customHeight="1" spans="2:4">
      <c r="B896" s="137">
        <v>44914</v>
      </c>
      <c r="C896" s="132">
        <v>18420.45</v>
      </c>
      <c r="D896" s="135">
        <f t="shared" si="13"/>
        <v>-0.00190820528271574</v>
      </c>
    </row>
    <row r="897" ht="14.25" customHeight="1" spans="2:4">
      <c r="B897" s="137">
        <v>44911</v>
      </c>
      <c r="C897" s="132">
        <v>18269</v>
      </c>
      <c r="D897" s="135">
        <f t="shared" si="13"/>
        <v>0.00828999945262465</v>
      </c>
    </row>
    <row r="898" ht="14.25" customHeight="1" spans="2:4">
      <c r="B898" s="137">
        <v>44910</v>
      </c>
      <c r="C898" s="132">
        <v>18414.9</v>
      </c>
      <c r="D898" s="135">
        <f t="shared" si="13"/>
        <v>-0.00792293197356497</v>
      </c>
    </row>
    <row r="899" ht="14.25" customHeight="1" spans="2:4">
      <c r="B899" s="137">
        <v>44909</v>
      </c>
      <c r="C899" s="132">
        <v>18660.3</v>
      </c>
      <c r="D899" s="135">
        <f t="shared" si="13"/>
        <v>-0.0131509139724441</v>
      </c>
    </row>
    <row r="900" ht="14.25" customHeight="1" spans="2:4">
      <c r="B900" s="137">
        <v>44908</v>
      </c>
      <c r="C900" s="132">
        <v>18608</v>
      </c>
      <c r="D900" s="135">
        <f t="shared" si="13"/>
        <v>0.00281061908856395</v>
      </c>
    </row>
    <row r="901" ht="14.25" customHeight="1" spans="2:4">
      <c r="B901" s="137">
        <v>44907</v>
      </c>
      <c r="C901" s="132">
        <v>18497.15</v>
      </c>
      <c r="D901" s="135">
        <f t="shared" si="13"/>
        <v>0.00599281510935468</v>
      </c>
    </row>
    <row r="902" ht="14.25" customHeight="1" spans="2:4">
      <c r="B902" s="137">
        <v>44904</v>
      </c>
      <c r="C902" s="132">
        <v>18496.6</v>
      </c>
      <c r="D902" s="135">
        <f t="shared" si="13"/>
        <v>2.97351945763857e-5</v>
      </c>
    </row>
    <row r="903" ht="14.25" customHeight="1" spans="2:4">
      <c r="B903" s="137">
        <v>44903</v>
      </c>
      <c r="C903" s="132">
        <v>18609.35</v>
      </c>
      <c r="D903" s="135">
        <f t="shared" si="13"/>
        <v>-0.00605878227880075</v>
      </c>
    </row>
    <row r="904" ht="14.25" customHeight="1" spans="2:4">
      <c r="B904" s="137">
        <v>44902</v>
      </c>
      <c r="C904" s="132">
        <v>18560.5</v>
      </c>
      <c r="D904" s="135">
        <f t="shared" si="13"/>
        <v>0.00263193340696644</v>
      </c>
    </row>
    <row r="905" ht="14.25" customHeight="1" spans="2:4">
      <c r="B905" s="137">
        <v>44901</v>
      </c>
      <c r="C905" s="132">
        <v>18642.75</v>
      </c>
      <c r="D905" s="135">
        <f t="shared" ref="D905:D968" si="14">C904/C905-1</f>
        <v>-0.00441190275039893</v>
      </c>
    </row>
    <row r="906" ht="14.25" customHeight="1" spans="2:4">
      <c r="B906" s="137">
        <v>44900</v>
      </c>
      <c r="C906" s="132">
        <v>18701.05</v>
      </c>
      <c r="D906" s="135">
        <f t="shared" si="14"/>
        <v>-0.00311747201360346</v>
      </c>
    </row>
    <row r="907" ht="14.25" customHeight="1" spans="2:4">
      <c r="B907" s="137">
        <v>44897</v>
      </c>
      <c r="C907" s="132">
        <v>18696.1</v>
      </c>
      <c r="D907" s="135">
        <f t="shared" si="14"/>
        <v>0.000264761099908473</v>
      </c>
    </row>
    <row r="908" ht="14.25" customHeight="1" spans="2:4">
      <c r="B908" s="137">
        <v>44896</v>
      </c>
      <c r="C908" s="132">
        <v>18812.5</v>
      </c>
      <c r="D908" s="135">
        <f t="shared" si="14"/>
        <v>-0.00618737541528247</v>
      </c>
    </row>
    <row r="909" ht="14.25" customHeight="1" spans="2:4">
      <c r="B909" s="137">
        <v>44895</v>
      </c>
      <c r="C909" s="132">
        <v>18758.35</v>
      </c>
      <c r="D909" s="135">
        <f t="shared" si="14"/>
        <v>0.00288671444983168</v>
      </c>
    </row>
    <row r="910" ht="14.25" customHeight="1" spans="2:4">
      <c r="B910" s="137">
        <v>44894</v>
      </c>
      <c r="C910" s="132">
        <v>18618.05</v>
      </c>
      <c r="D910" s="135">
        <f t="shared" si="14"/>
        <v>0.00753569788457975</v>
      </c>
    </row>
    <row r="911" ht="14.25" customHeight="1" spans="2:4">
      <c r="B911" s="137">
        <v>44893</v>
      </c>
      <c r="C911" s="132">
        <v>18562.75</v>
      </c>
      <c r="D911" s="135">
        <f t="shared" si="14"/>
        <v>0.00297908445677497</v>
      </c>
    </row>
    <row r="912" ht="14.25" customHeight="1" spans="2:4">
      <c r="B912" s="137">
        <v>44890</v>
      </c>
      <c r="C912" s="132">
        <v>18512.75</v>
      </c>
      <c r="D912" s="135">
        <f t="shared" si="14"/>
        <v>0.0027008413120686</v>
      </c>
    </row>
    <row r="913" ht="14.25" customHeight="1" spans="2:4">
      <c r="B913" s="137">
        <v>44889</v>
      </c>
      <c r="C913" s="132">
        <v>18484.1</v>
      </c>
      <c r="D913" s="135">
        <f t="shared" si="14"/>
        <v>0.00154998079430446</v>
      </c>
    </row>
    <row r="914" ht="14.25" customHeight="1" spans="2:4">
      <c r="B914" s="137">
        <v>44888</v>
      </c>
      <c r="C914" s="132">
        <v>18267.25</v>
      </c>
      <c r="D914" s="135">
        <f t="shared" si="14"/>
        <v>0.0118709712737275</v>
      </c>
    </row>
    <row r="915" ht="14.25" customHeight="1" spans="2:4">
      <c r="B915" s="137">
        <v>44887</v>
      </c>
      <c r="C915" s="132">
        <v>18244.2</v>
      </c>
      <c r="D915" s="135">
        <f t="shared" si="14"/>
        <v>0.00126341522237206</v>
      </c>
    </row>
    <row r="916" ht="14.25" customHeight="1" spans="2:4">
      <c r="B916" s="137">
        <v>44886</v>
      </c>
      <c r="C916" s="132">
        <v>18159.95</v>
      </c>
      <c r="D916" s="135">
        <f t="shared" si="14"/>
        <v>0.00463932995410232</v>
      </c>
    </row>
    <row r="917" ht="14.25" customHeight="1" spans="2:4">
      <c r="B917" s="137">
        <v>44883</v>
      </c>
      <c r="C917" s="132">
        <v>18307.65</v>
      </c>
      <c r="D917" s="135">
        <f t="shared" si="14"/>
        <v>-0.00806766570258888</v>
      </c>
    </row>
    <row r="918" ht="14.25" customHeight="1" spans="2:4">
      <c r="B918" s="137">
        <v>44882</v>
      </c>
      <c r="C918" s="132">
        <v>18343.9</v>
      </c>
      <c r="D918" s="135">
        <f t="shared" si="14"/>
        <v>-0.00197613375563543</v>
      </c>
    </row>
    <row r="919" ht="14.25" customHeight="1" spans="2:4">
      <c r="B919" s="137">
        <v>44881</v>
      </c>
      <c r="C919" s="132">
        <v>18409.65</v>
      </c>
      <c r="D919" s="135">
        <f t="shared" si="14"/>
        <v>-0.00357149647060107</v>
      </c>
    </row>
    <row r="920" ht="14.25" customHeight="1" spans="2:4">
      <c r="B920" s="137">
        <v>44880</v>
      </c>
      <c r="C920" s="132">
        <v>18403.4</v>
      </c>
      <c r="D920" s="135">
        <f t="shared" si="14"/>
        <v>0.000339611158807651</v>
      </c>
    </row>
    <row r="921" ht="14.25" customHeight="1" spans="2:4">
      <c r="B921" s="137">
        <v>44879</v>
      </c>
      <c r="C921" s="132">
        <v>18329.15</v>
      </c>
      <c r="D921" s="135">
        <f t="shared" si="14"/>
        <v>0.00405092434728282</v>
      </c>
    </row>
    <row r="922" ht="14.25" customHeight="1" spans="2:4">
      <c r="B922" s="137">
        <v>44876</v>
      </c>
      <c r="C922" s="132">
        <v>18349.7</v>
      </c>
      <c r="D922" s="135">
        <f t="shared" si="14"/>
        <v>-0.00111990931731853</v>
      </c>
    </row>
    <row r="923" ht="14.25" customHeight="1" spans="2:4">
      <c r="B923" s="137">
        <v>44875</v>
      </c>
      <c r="C923" s="132">
        <v>18028.2</v>
      </c>
      <c r="D923" s="135">
        <f t="shared" si="14"/>
        <v>0.0178331724742349</v>
      </c>
    </row>
    <row r="924" ht="14.25" customHeight="1" spans="2:4">
      <c r="B924" s="137">
        <v>44874</v>
      </c>
      <c r="C924" s="132">
        <v>18157</v>
      </c>
      <c r="D924" s="135">
        <f t="shared" si="14"/>
        <v>-0.00709368287712719</v>
      </c>
    </row>
    <row r="925" ht="14.25" customHeight="1" spans="2:4">
      <c r="B925" s="137">
        <v>44872</v>
      </c>
      <c r="C925" s="132">
        <v>18202.8</v>
      </c>
      <c r="D925" s="135">
        <f t="shared" si="14"/>
        <v>-0.00251609642472583</v>
      </c>
    </row>
    <row r="926" ht="14.25" customHeight="1" spans="2:4">
      <c r="B926" s="137">
        <v>44869</v>
      </c>
      <c r="C926" s="132">
        <v>18117.15</v>
      </c>
      <c r="D926" s="135">
        <f t="shared" si="14"/>
        <v>0.00472756476598124</v>
      </c>
    </row>
    <row r="927" ht="14.25" customHeight="1" spans="2:4">
      <c r="B927" s="137">
        <v>44868</v>
      </c>
      <c r="C927" s="132">
        <v>18052.7</v>
      </c>
      <c r="D927" s="135">
        <f t="shared" si="14"/>
        <v>0.00357010308707295</v>
      </c>
    </row>
    <row r="928" ht="14.25" customHeight="1" spans="2:4">
      <c r="B928" s="137">
        <v>44867</v>
      </c>
      <c r="C928" s="132">
        <v>18082.85</v>
      </c>
      <c r="D928" s="135">
        <f t="shared" si="14"/>
        <v>-0.00166732567045558</v>
      </c>
    </row>
    <row r="929" ht="14.25" customHeight="1" spans="2:4">
      <c r="B929" s="137">
        <v>44866</v>
      </c>
      <c r="C929" s="132">
        <v>18145.4</v>
      </c>
      <c r="D929" s="135">
        <f t="shared" si="14"/>
        <v>-0.00344715465076562</v>
      </c>
    </row>
    <row r="930" ht="14.25" customHeight="1" spans="2:4">
      <c r="B930" s="137">
        <v>44865</v>
      </c>
      <c r="C930" s="132">
        <v>18012.2</v>
      </c>
      <c r="D930" s="135">
        <f t="shared" si="14"/>
        <v>0.007394987841574</v>
      </c>
    </row>
    <row r="931" ht="14.25" customHeight="1" spans="2:4">
      <c r="B931" s="137">
        <v>44862</v>
      </c>
      <c r="C931" s="132">
        <v>17786.8</v>
      </c>
      <c r="D931" s="135">
        <f t="shared" si="14"/>
        <v>0.0126723187982101</v>
      </c>
    </row>
    <row r="932" ht="14.25" customHeight="1" spans="2:4">
      <c r="B932" s="137">
        <v>44861</v>
      </c>
      <c r="C932" s="132">
        <v>17736.95</v>
      </c>
      <c r="D932" s="135">
        <f t="shared" si="14"/>
        <v>0.00281051702801216</v>
      </c>
    </row>
    <row r="933" ht="14.25" customHeight="1" spans="2:4">
      <c r="B933" s="137">
        <v>44859</v>
      </c>
      <c r="C933" s="132">
        <v>17656.35</v>
      </c>
      <c r="D933" s="135">
        <f t="shared" si="14"/>
        <v>0.00456492989774238</v>
      </c>
    </row>
    <row r="934" ht="14.25" customHeight="1" spans="2:4">
      <c r="B934" s="137">
        <v>44858</v>
      </c>
      <c r="C934" s="132">
        <v>17730.75</v>
      </c>
      <c r="D934" s="135">
        <f t="shared" si="14"/>
        <v>-0.0041960999957702</v>
      </c>
    </row>
    <row r="935" ht="14.25" customHeight="1" spans="2:4">
      <c r="B935" s="137">
        <v>44855</v>
      </c>
      <c r="C935" s="132">
        <v>17576.3</v>
      </c>
      <c r="D935" s="135">
        <f t="shared" si="14"/>
        <v>0.00878740121641086</v>
      </c>
    </row>
    <row r="936" ht="14.25" customHeight="1" spans="2:4">
      <c r="B936" s="137">
        <v>44854</v>
      </c>
      <c r="C936" s="132">
        <v>17563.95</v>
      </c>
      <c r="D936" s="135">
        <f t="shared" si="14"/>
        <v>0.000703144793739341</v>
      </c>
    </row>
    <row r="937" ht="14.25" customHeight="1" spans="2:4">
      <c r="B937" s="137">
        <v>44853</v>
      </c>
      <c r="C937" s="132">
        <v>17512.25</v>
      </c>
      <c r="D937" s="135">
        <f t="shared" si="14"/>
        <v>0.00295221916087307</v>
      </c>
    </row>
    <row r="938" ht="14.25" customHeight="1" spans="2:4">
      <c r="B938" s="137">
        <v>44852</v>
      </c>
      <c r="C938" s="132">
        <v>17486.95</v>
      </c>
      <c r="D938" s="135">
        <f t="shared" si="14"/>
        <v>0.00144679318005703</v>
      </c>
    </row>
    <row r="939" ht="14.25" customHeight="1" spans="2:4">
      <c r="B939" s="137">
        <v>44851</v>
      </c>
      <c r="C939" s="132">
        <v>17311.8</v>
      </c>
      <c r="D939" s="135">
        <f t="shared" si="14"/>
        <v>0.0101173765870679</v>
      </c>
    </row>
    <row r="940" ht="14.25" customHeight="1" spans="2:4">
      <c r="B940" s="137">
        <v>44848</v>
      </c>
      <c r="C940" s="132">
        <v>17185.7</v>
      </c>
      <c r="D940" s="135">
        <f t="shared" si="14"/>
        <v>0.00733749570864139</v>
      </c>
    </row>
    <row r="941" ht="14.25" customHeight="1" spans="2:4">
      <c r="B941" s="137">
        <v>44847</v>
      </c>
      <c r="C941" s="132">
        <v>17014.35</v>
      </c>
      <c r="D941" s="135">
        <f t="shared" si="14"/>
        <v>0.0100709107312358</v>
      </c>
    </row>
    <row r="942" ht="14.25" customHeight="1" spans="2:4">
      <c r="B942" s="137">
        <v>44846</v>
      </c>
      <c r="C942" s="132">
        <v>17123.6</v>
      </c>
      <c r="D942" s="135">
        <f t="shared" si="14"/>
        <v>-0.0063800836272746</v>
      </c>
    </row>
    <row r="943" ht="14.25" customHeight="1" spans="2:4">
      <c r="B943" s="137">
        <v>44845</v>
      </c>
      <c r="C943" s="132">
        <v>16983.55</v>
      </c>
      <c r="D943" s="135">
        <f t="shared" si="14"/>
        <v>0.00824621471953746</v>
      </c>
    </row>
    <row r="944" ht="14.25" customHeight="1" spans="2:4">
      <c r="B944" s="137">
        <v>44844</v>
      </c>
      <c r="C944" s="132">
        <v>17241</v>
      </c>
      <c r="D944" s="135">
        <f t="shared" si="14"/>
        <v>-0.0149324285134274</v>
      </c>
    </row>
    <row r="945" ht="14.25" customHeight="1" spans="2:4">
      <c r="B945" s="137">
        <v>44841</v>
      </c>
      <c r="C945" s="132">
        <v>17314.65</v>
      </c>
      <c r="D945" s="135">
        <f t="shared" si="14"/>
        <v>-0.00425362337673596</v>
      </c>
    </row>
    <row r="946" ht="14.25" customHeight="1" spans="2:4">
      <c r="B946" s="137">
        <v>44840</v>
      </c>
      <c r="C946" s="132">
        <v>17331.8</v>
      </c>
      <c r="D946" s="135">
        <f t="shared" si="14"/>
        <v>-0.000989510610553856</v>
      </c>
    </row>
    <row r="947" ht="14.25" customHeight="1" spans="2:4">
      <c r="B947" s="137">
        <v>44838</v>
      </c>
      <c r="C947" s="132">
        <v>17274.3</v>
      </c>
      <c r="D947" s="135">
        <f t="shared" si="14"/>
        <v>0.00332864428659918</v>
      </c>
    </row>
    <row r="948" ht="14.25" customHeight="1" spans="2:4">
      <c r="B948" s="137">
        <v>44837</v>
      </c>
      <c r="C948" s="132">
        <v>16887.35</v>
      </c>
      <c r="D948" s="135">
        <f t="shared" si="14"/>
        <v>0.0229136010090394</v>
      </c>
    </row>
    <row r="949" ht="14.25" customHeight="1" spans="2:4">
      <c r="B949" s="137">
        <v>44834</v>
      </c>
      <c r="C949" s="132">
        <v>17094.35</v>
      </c>
      <c r="D949" s="135">
        <f t="shared" si="14"/>
        <v>-0.0121092641720802</v>
      </c>
    </row>
    <row r="950" ht="14.25" customHeight="1" spans="2:4">
      <c r="B950" s="137">
        <v>44833</v>
      </c>
      <c r="C950" s="132">
        <v>16818.1</v>
      </c>
      <c r="D950" s="135">
        <f t="shared" si="14"/>
        <v>0.0164257555847569</v>
      </c>
    </row>
    <row r="951" ht="14.25" customHeight="1" spans="2:4">
      <c r="B951" s="137">
        <v>44832</v>
      </c>
      <c r="C951" s="132">
        <v>16858.6</v>
      </c>
      <c r="D951" s="135">
        <f t="shared" si="14"/>
        <v>-0.00240233471343998</v>
      </c>
    </row>
    <row r="952" ht="14.25" customHeight="1" spans="2:4">
      <c r="B952" s="137">
        <v>44831</v>
      </c>
      <c r="C952" s="132">
        <v>17007.4</v>
      </c>
      <c r="D952" s="135">
        <f t="shared" si="14"/>
        <v>-0.00874913273045863</v>
      </c>
    </row>
    <row r="953" ht="14.25" customHeight="1" spans="2:4">
      <c r="B953" s="137">
        <v>44830</v>
      </c>
      <c r="C953" s="132">
        <v>17016.3</v>
      </c>
      <c r="D953" s="135">
        <f t="shared" si="14"/>
        <v>-0.000523027920288022</v>
      </c>
    </row>
    <row r="954" ht="14.25" customHeight="1" spans="2:4">
      <c r="B954" s="137">
        <v>44827</v>
      </c>
      <c r="C954" s="132">
        <v>17327.35</v>
      </c>
      <c r="D954" s="135">
        <f t="shared" si="14"/>
        <v>-0.0179513889890837</v>
      </c>
    </row>
    <row r="955" ht="14.25" customHeight="1" spans="2:4">
      <c r="B955" s="137">
        <v>44826</v>
      </c>
      <c r="C955" s="132">
        <v>17629.8</v>
      </c>
      <c r="D955" s="135">
        <f t="shared" si="14"/>
        <v>-0.0171556115214013</v>
      </c>
    </row>
    <row r="956" ht="14.25" customHeight="1" spans="2:4">
      <c r="B956" s="137">
        <v>44825</v>
      </c>
      <c r="C956" s="132">
        <v>17718.35</v>
      </c>
      <c r="D956" s="135">
        <f t="shared" si="14"/>
        <v>-0.00499764368578337</v>
      </c>
    </row>
    <row r="957" ht="14.25" customHeight="1" spans="2:4">
      <c r="B957" s="137">
        <v>44824</v>
      </c>
      <c r="C957" s="132">
        <v>17816.25</v>
      </c>
      <c r="D957" s="135">
        <f t="shared" si="14"/>
        <v>-0.00549498351224309</v>
      </c>
    </row>
    <row r="958" ht="14.25" customHeight="1" spans="2:4">
      <c r="B958" s="137">
        <v>44823</v>
      </c>
      <c r="C958" s="132">
        <v>17622.25</v>
      </c>
      <c r="D958" s="135">
        <f t="shared" si="14"/>
        <v>0.0110088098852303</v>
      </c>
    </row>
    <row r="959" ht="14.25" customHeight="1" spans="2:4">
      <c r="B959" s="137">
        <v>44820</v>
      </c>
      <c r="C959" s="132">
        <v>17530.85</v>
      </c>
      <c r="D959" s="135">
        <f t="shared" si="14"/>
        <v>0.00521366619416641</v>
      </c>
    </row>
    <row r="960" ht="14.25" customHeight="1" spans="2:4">
      <c r="B960" s="137">
        <v>44819</v>
      </c>
      <c r="C960" s="132">
        <v>17877.4</v>
      </c>
      <c r="D960" s="135">
        <f t="shared" si="14"/>
        <v>-0.0193848098716817</v>
      </c>
    </row>
    <row r="961" ht="14.25" customHeight="1" spans="2:4">
      <c r="B961" s="137">
        <v>44818</v>
      </c>
      <c r="C961" s="132">
        <v>18003.75</v>
      </c>
      <c r="D961" s="135">
        <f t="shared" si="14"/>
        <v>-0.00701798236478501</v>
      </c>
    </row>
    <row r="962" ht="14.25" customHeight="1" spans="2:4">
      <c r="B962" s="137">
        <v>44817</v>
      </c>
      <c r="C962" s="132">
        <v>18070.05</v>
      </c>
      <c r="D962" s="135">
        <f t="shared" si="14"/>
        <v>-0.00366905459586442</v>
      </c>
    </row>
    <row r="963" ht="14.25" customHeight="1" spans="2:4">
      <c r="B963" s="137">
        <v>44816</v>
      </c>
      <c r="C963" s="132">
        <v>17936.35</v>
      </c>
      <c r="D963" s="135">
        <f t="shared" si="14"/>
        <v>0.00745413643244031</v>
      </c>
    </row>
    <row r="964" ht="14.25" customHeight="1" spans="2:4">
      <c r="B964" s="137">
        <v>44813</v>
      </c>
      <c r="C964" s="132">
        <v>17833.35</v>
      </c>
      <c r="D964" s="135">
        <f t="shared" si="14"/>
        <v>0.00577569553673318</v>
      </c>
    </row>
    <row r="965" ht="14.25" customHeight="1" spans="2:4">
      <c r="B965" s="137">
        <v>44812</v>
      </c>
      <c r="C965" s="132">
        <v>17798.75</v>
      </c>
      <c r="D965" s="135">
        <f t="shared" si="14"/>
        <v>0.00194395673853487</v>
      </c>
    </row>
    <row r="966" ht="14.25" customHeight="1" spans="2:4">
      <c r="B966" s="137">
        <v>44811</v>
      </c>
      <c r="C966" s="132">
        <v>17624.4</v>
      </c>
      <c r="D966" s="135">
        <f t="shared" si="14"/>
        <v>0.00989253534872092</v>
      </c>
    </row>
    <row r="967" ht="14.25" customHeight="1" spans="2:4">
      <c r="B967" s="137">
        <v>44810</v>
      </c>
      <c r="C967" s="132">
        <v>17655.6</v>
      </c>
      <c r="D967" s="135">
        <f t="shared" si="14"/>
        <v>-0.00176714470196404</v>
      </c>
    </row>
    <row r="968" ht="14.25" customHeight="1" spans="2:4">
      <c r="B968" s="137">
        <v>44809</v>
      </c>
      <c r="C968" s="132">
        <v>17665.8</v>
      </c>
      <c r="D968" s="135">
        <f t="shared" si="14"/>
        <v>-0.000577386815202252</v>
      </c>
    </row>
    <row r="969" ht="14.25" customHeight="1" spans="2:4">
      <c r="B969" s="137">
        <v>44806</v>
      </c>
      <c r="C969" s="132">
        <v>17539.45</v>
      </c>
      <c r="D969" s="135">
        <f t="shared" ref="D969:D1032" si="15">C968/C969-1</f>
        <v>0.00720376066524309</v>
      </c>
    </row>
    <row r="970" ht="14.25" customHeight="1" spans="2:4">
      <c r="B970" s="137">
        <v>44805</v>
      </c>
      <c r="C970" s="132">
        <v>17542.8</v>
      </c>
      <c r="D970" s="135">
        <f t="shared" si="15"/>
        <v>-0.000190961534076606</v>
      </c>
    </row>
    <row r="971" ht="14.25" customHeight="1" spans="2:4">
      <c r="B971" s="137">
        <v>44803</v>
      </c>
      <c r="C971" s="132">
        <v>17759.3</v>
      </c>
      <c r="D971" s="135">
        <f t="shared" si="15"/>
        <v>-0.0121907958083933</v>
      </c>
    </row>
    <row r="972" ht="14.25" customHeight="1" spans="2:4">
      <c r="B972" s="137">
        <v>44802</v>
      </c>
      <c r="C972" s="132">
        <v>17312.9</v>
      </c>
      <c r="D972" s="135">
        <f t="shared" si="15"/>
        <v>0.0257842418081313</v>
      </c>
    </row>
    <row r="973" ht="14.25" customHeight="1" spans="2:4">
      <c r="B973" s="137">
        <v>44799</v>
      </c>
      <c r="C973" s="132">
        <v>17558.9</v>
      </c>
      <c r="D973" s="135">
        <f t="shared" si="15"/>
        <v>-0.0140099892362278</v>
      </c>
    </row>
    <row r="974" ht="14.25" customHeight="1" spans="2:4">
      <c r="B974" s="137">
        <v>44798</v>
      </c>
      <c r="C974" s="132">
        <v>17522.45</v>
      </c>
      <c r="D974" s="135">
        <f t="shared" si="15"/>
        <v>0.00208018855810699</v>
      </c>
    </row>
    <row r="975" ht="14.25" customHeight="1" spans="2:4">
      <c r="B975" s="137">
        <v>44797</v>
      </c>
      <c r="C975" s="132">
        <v>17604.95</v>
      </c>
      <c r="D975" s="135">
        <f t="shared" si="15"/>
        <v>-0.00468618201130933</v>
      </c>
    </row>
    <row r="976" ht="14.25" customHeight="1" spans="2:4">
      <c r="B976" s="137">
        <v>44796</v>
      </c>
      <c r="C976" s="132">
        <v>17577.5</v>
      </c>
      <c r="D976" s="135">
        <f t="shared" si="15"/>
        <v>0.00156165552552978</v>
      </c>
    </row>
    <row r="977" ht="14.25" customHeight="1" spans="2:4">
      <c r="B977" s="137">
        <v>44795</v>
      </c>
      <c r="C977" s="132">
        <v>17490.7</v>
      </c>
      <c r="D977" s="135">
        <f t="shared" si="15"/>
        <v>0.004962637287244</v>
      </c>
    </row>
    <row r="978" ht="14.25" customHeight="1" spans="2:4">
      <c r="B978" s="137">
        <v>44792</v>
      </c>
      <c r="C978" s="132">
        <v>17758.45</v>
      </c>
      <c r="D978" s="135">
        <f t="shared" si="15"/>
        <v>-0.0150773293840397</v>
      </c>
    </row>
    <row r="979" ht="14.25" customHeight="1" spans="2:4">
      <c r="B979" s="137">
        <v>44791</v>
      </c>
      <c r="C979" s="132">
        <v>17956.5</v>
      </c>
      <c r="D979" s="135">
        <f t="shared" si="15"/>
        <v>-0.0110294322390221</v>
      </c>
    </row>
    <row r="980" ht="14.25" customHeight="1" spans="2:4">
      <c r="B980" s="137">
        <v>44790</v>
      </c>
      <c r="C980" s="132">
        <v>17944.25</v>
      </c>
      <c r="D980" s="135">
        <f t="shared" si="15"/>
        <v>0.000682669936052038</v>
      </c>
    </row>
    <row r="981" ht="14.25" customHeight="1" spans="2:4">
      <c r="B981" s="137">
        <v>44789</v>
      </c>
      <c r="C981" s="132">
        <v>17825.25</v>
      </c>
      <c r="D981" s="135">
        <f t="shared" si="15"/>
        <v>0.00667592319883314</v>
      </c>
    </row>
    <row r="982" ht="14.25" customHeight="1" spans="2:4">
      <c r="B982" s="137">
        <v>44785</v>
      </c>
      <c r="C982" s="132">
        <v>17698.15</v>
      </c>
      <c r="D982" s="135">
        <f t="shared" si="15"/>
        <v>0.00718154157355411</v>
      </c>
    </row>
    <row r="983" ht="14.25" customHeight="1" spans="2:4">
      <c r="B983" s="137">
        <v>44784</v>
      </c>
      <c r="C983" s="132">
        <v>17659</v>
      </c>
      <c r="D983" s="135">
        <f t="shared" si="15"/>
        <v>0.00221699983011514</v>
      </c>
    </row>
    <row r="984" ht="14.25" customHeight="1" spans="2:4">
      <c r="B984" s="137">
        <v>44783</v>
      </c>
      <c r="C984" s="132">
        <v>17534.75</v>
      </c>
      <c r="D984" s="135">
        <f t="shared" si="15"/>
        <v>0.00708592936882479</v>
      </c>
    </row>
    <row r="985" ht="14.25" customHeight="1" spans="2:4">
      <c r="B985" s="137">
        <v>44781</v>
      </c>
      <c r="C985" s="132">
        <v>17525.1</v>
      </c>
      <c r="D985" s="135">
        <f t="shared" si="15"/>
        <v>0.000550638798066938</v>
      </c>
    </row>
    <row r="986" ht="14.25" customHeight="1" spans="2:4">
      <c r="B986" s="137">
        <v>44778</v>
      </c>
      <c r="C986" s="132">
        <v>17397.5</v>
      </c>
      <c r="D986" s="135">
        <f t="shared" si="15"/>
        <v>0.00733438712458678</v>
      </c>
    </row>
    <row r="987" ht="14.25" customHeight="1" spans="2:4">
      <c r="B987" s="137">
        <v>44777</v>
      </c>
      <c r="C987" s="132">
        <v>17382</v>
      </c>
      <c r="D987" s="135">
        <f t="shared" si="15"/>
        <v>0.00089172707398455</v>
      </c>
    </row>
    <row r="988" ht="14.25" customHeight="1" spans="2:4">
      <c r="B988" s="137">
        <v>44776</v>
      </c>
      <c r="C988" s="132">
        <v>17388.15</v>
      </c>
      <c r="D988" s="135">
        <f t="shared" si="15"/>
        <v>-0.000353689150369707</v>
      </c>
    </row>
    <row r="989" ht="14.25" customHeight="1" spans="2:4">
      <c r="B989" s="137">
        <v>44775</v>
      </c>
      <c r="C989" s="132">
        <v>17345.45</v>
      </c>
      <c r="D989" s="135">
        <f t="shared" si="15"/>
        <v>0.00246174068703908</v>
      </c>
    </row>
    <row r="990" ht="14.25" customHeight="1" spans="2:4">
      <c r="B990" s="137">
        <v>44774</v>
      </c>
      <c r="C990" s="132">
        <v>17340.05</v>
      </c>
      <c r="D990" s="135">
        <f t="shared" si="15"/>
        <v>0.00031141778714594</v>
      </c>
    </row>
    <row r="991" ht="14.25" customHeight="1" spans="2:4">
      <c r="B991" s="137">
        <v>44771</v>
      </c>
      <c r="C991" s="132">
        <v>17158.25</v>
      </c>
      <c r="D991" s="135">
        <f t="shared" si="15"/>
        <v>0.0105954861364066</v>
      </c>
    </row>
    <row r="992" ht="14.25" customHeight="1" spans="2:4">
      <c r="B992" s="137">
        <v>44770</v>
      </c>
      <c r="C992" s="132">
        <v>16929.6</v>
      </c>
      <c r="D992" s="135">
        <f t="shared" si="15"/>
        <v>0.0135059304413572</v>
      </c>
    </row>
    <row r="993" ht="14.25" customHeight="1" spans="2:4">
      <c r="B993" s="137">
        <v>44769</v>
      </c>
      <c r="C993" s="132">
        <v>16641.8</v>
      </c>
      <c r="D993" s="135">
        <f t="shared" si="15"/>
        <v>0.0172938023531108</v>
      </c>
    </row>
    <row r="994" ht="14.25" customHeight="1" spans="2:4">
      <c r="B994" s="137">
        <v>44768</v>
      </c>
      <c r="C994" s="132">
        <v>16483.85</v>
      </c>
      <c r="D994" s="135">
        <f t="shared" si="15"/>
        <v>0.0095821061220529</v>
      </c>
    </row>
    <row r="995" ht="14.25" customHeight="1" spans="2:4">
      <c r="B995" s="137">
        <v>44767</v>
      </c>
      <c r="C995" s="132">
        <v>16631</v>
      </c>
      <c r="D995" s="135">
        <f t="shared" si="15"/>
        <v>-0.00884793458000133</v>
      </c>
    </row>
    <row r="996" ht="14.25" customHeight="1" spans="2:4">
      <c r="B996" s="137">
        <v>44764</v>
      </c>
      <c r="C996" s="132">
        <v>16719.45</v>
      </c>
      <c r="D996" s="135">
        <f t="shared" si="15"/>
        <v>-0.00529024579157811</v>
      </c>
    </row>
    <row r="997" ht="14.25" customHeight="1" spans="2:4">
      <c r="B997" s="137">
        <v>44763</v>
      </c>
      <c r="C997" s="132">
        <v>16605.25</v>
      </c>
      <c r="D997" s="135">
        <f t="shared" si="15"/>
        <v>0.00687734300898812</v>
      </c>
    </row>
    <row r="998" ht="14.25" customHeight="1" spans="2:4">
      <c r="B998" s="137">
        <v>44762</v>
      </c>
      <c r="C998" s="132">
        <v>16520.85</v>
      </c>
      <c r="D998" s="135">
        <f t="shared" si="15"/>
        <v>0.00510869598113906</v>
      </c>
    </row>
    <row r="999" ht="14.25" customHeight="1" spans="2:4">
      <c r="B999" s="137">
        <v>44761</v>
      </c>
      <c r="C999" s="132">
        <v>16340.55</v>
      </c>
      <c r="D999" s="135">
        <f t="shared" si="15"/>
        <v>0.0110339003277122</v>
      </c>
    </row>
    <row r="1000" ht="14.25" customHeight="1" spans="2:4">
      <c r="B1000" s="137">
        <v>44760</v>
      </c>
      <c r="C1000" s="132">
        <v>16278.5</v>
      </c>
      <c r="D1000" s="135">
        <f t="shared" si="15"/>
        <v>0.00381177626931217</v>
      </c>
    </row>
    <row r="1001" ht="14.25" customHeight="1" spans="2:4">
      <c r="B1001" s="137">
        <v>44757</v>
      </c>
      <c r="C1001" s="132">
        <v>16049.2</v>
      </c>
      <c r="D1001" s="135">
        <f t="shared" si="15"/>
        <v>0.014287316501757</v>
      </c>
    </row>
    <row r="1002" ht="14.25" customHeight="1" spans="2:4">
      <c r="B1002" s="137">
        <v>44756</v>
      </c>
      <c r="C1002" s="132">
        <v>15938.65</v>
      </c>
      <c r="D1002" s="135">
        <f t="shared" si="15"/>
        <v>0.00693597011039215</v>
      </c>
    </row>
    <row r="1003" ht="14.25" customHeight="1" spans="2:4">
      <c r="B1003" s="137">
        <v>44755</v>
      </c>
      <c r="C1003" s="132">
        <v>15966.65</v>
      </c>
      <c r="D1003" s="135">
        <f t="shared" si="15"/>
        <v>-0.00175365527521432</v>
      </c>
    </row>
    <row r="1004" ht="14.25" customHeight="1" spans="2:4">
      <c r="B1004" s="137">
        <v>44754</v>
      </c>
      <c r="C1004" s="132">
        <v>16058.3</v>
      </c>
      <c r="D1004" s="135">
        <f t="shared" si="15"/>
        <v>-0.00570732892024683</v>
      </c>
    </row>
    <row r="1005" ht="14.25" customHeight="1" spans="2:4">
      <c r="B1005" s="137">
        <v>44753</v>
      </c>
      <c r="C1005" s="132">
        <v>16216</v>
      </c>
      <c r="D1005" s="135">
        <f t="shared" si="15"/>
        <v>-0.00972496299950676</v>
      </c>
    </row>
    <row r="1006" ht="14.25" customHeight="1" spans="2:4">
      <c r="B1006" s="137">
        <v>44750</v>
      </c>
      <c r="C1006" s="132">
        <v>16220.6</v>
      </c>
      <c r="D1006" s="135">
        <f t="shared" si="15"/>
        <v>-0.000283590002835954</v>
      </c>
    </row>
    <row r="1007" ht="14.25" customHeight="1" spans="2:4">
      <c r="B1007" s="137">
        <v>44749</v>
      </c>
      <c r="C1007" s="132">
        <v>16132.9</v>
      </c>
      <c r="D1007" s="135">
        <f t="shared" si="15"/>
        <v>0.00543609642407761</v>
      </c>
    </row>
    <row r="1008" ht="14.25" customHeight="1" spans="2:4">
      <c r="B1008" s="137">
        <v>44748</v>
      </c>
      <c r="C1008" s="132">
        <v>15989.8</v>
      </c>
      <c r="D1008" s="135">
        <f t="shared" si="15"/>
        <v>0.0089494552777396</v>
      </c>
    </row>
    <row r="1009" ht="14.25" customHeight="1" spans="2:4">
      <c r="B1009" s="137">
        <v>44747</v>
      </c>
      <c r="C1009" s="132">
        <v>15810.85</v>
      </c>
      <c r="D1009" s="135">
        <f t="shared" si="15"/>
        <v>0.0113181770746038</v>
      </c>
    </row>
    <row r="1010" ht="14.25" customHeight="1" spans="2:4">
      <c r="B1010" s="137">
        <v>44746</v>
      </c>
      <c r="C1010" s="132">
        <v>15835.35</v>
      </c>
      <c r="D1010" s="135">
        <f t="shared" si="15"/>
        <v>-0.00154717136027938</v>
      </c>
    </row>
    <row r="1011" ht="14.25" customHeight="1" spans="2:4">
      <c r="B1011" s="137">
        <v>44743</v>
      </c>
      <c r="C1011" s="132">
        <v>15752.05</v>
      </c>
      <c r="D1011" s="135">
        <f t="shared" si="15"/>
        <v>0.00528820058341628</v>
      </c>
    </row>
    <row r="1012" ht="14.25" customHeight="1" spans="2:4">
      <c r="B1012" s="137">
        <v>44742</v>
      </c>
      <c r="C1012" s="132">
        <v>15780.25</v>
      </c>
      <c r="D1012" s="135">
        <f t="shared" si="15"/>
        <v>-0.00178704393149665</v>
      </c>
    </row>
    <row r="1013" ht="14.25" customHeight="1" spans="2:4">
      <c r="B1013" s="137">
        <v>44741</v>
      </c>
      <c r="C1013" s="132">
        <v>15799.1</v>
      </c>
      <c r="D1013" s="135">
        <f t="shared" si="15"/>
        <v>-0.00119310593641409</v>
      </c>
    </row>
    <row r="1014" ht="14.25" customHeight="1" spans="2:4">
      <c r="B1014" s="137">
        <v>44740</v>
      </c>
      <c r="C1014" s="132">
        <v>15850.2</v>
      </c>
      <c r="D1014" s="135">
        <f t="shared" si="15"/>
        <v>-0.00322393408285071</v>
      </c>
    </row>
    <row r="1015" ht="14.25" customHeight="1" spans="2:4">
      <c r="B1015" s="137">
        <v>44739</v>
      </c>
      <c r="C1015" s="132">
        <v>15832.05</v>
      </c>
      <c r="D1015" s="135">
        <f t="shared" si="15"/>
        <v>0.00114640870891658</v>
      </c>
    </row>
    <row r="1016" ht="14.25" customHeight="1" spans="2:4">
      <c r="B1016" s="137">
        <v>44736</v>
      </c>
      <c r="C1016" s="132">
        <v>15699.25</v>
      </c>
      <c r="D1016" s="135">
        <f t="shared" si="15"/>
        <v>0.00845900281860601</v>
      </c>
    </row>
    <row r="1017" ht="14.25" customHeight="1" spans="2:4">
      <c r="B1017" s="137">
        <v>44735</v>
      </c>
      <c r="C1017" s="132">
        <v>15556.65</v>
      </c>
      <c r="D1017" s="135">
        <f t="shared" si="15"/>
        <v>0.00916649792853863</v>
      </c>
    </row>
    <row r="1018" ht="14.25" customHeight="1" spans="2:4">
      <c r="B1018" s="137">
        <v>44734</v>
      </c>
      <c r="C1018" s="132">
        <v>15413.3</v>
      </c>
      <c r="D1018" s="135">
        <f t="shared" si="15"/>
        <v>0.00930040938669863</v>
      </c>
    </row>
    <row r="1019" ht="14.25" customHeight="1" spans="2:4">
      <c r="B1019" s="137">
        <v>44733</v>
      </c>
      <c r="C1019" s="132">
        <v>15638.8</v>
      </c>
      <c r="D1019" s="135">
        <f t="shared" si="15"/>
        <v>-0.0144192649052357</v>
      </c>
    </row>
    <row r="1020" ht="14.25" customHeight="1" spans="2:4">
      <c r="B1020" s="137">
        <v>44732</v>
      </c>
      <c r="C1020" s="132">
        <v>15350.15</v>
      </c>
      <c r="D1020" s="135">
        <f t="shared" si="15"/>
        <v>0.0188043765044641</v>
      </c>
    </row>
    <row r="1021" ht="14.25" customHeight="1" spans="2:4">
      <c r="B1021" s="137">
        <v>44729</v>
      </c>
      <c r="C1021" s="132">
        <v>15293.5</v>
      </c>
      <c r="D1021" s="135">
        <f t="shared" si="15"/>
        <v>0.00370418805374828</v>
      </c>
    </row>
    <row r="1022" ht="14.25" customHeight="1" spans="2:4">
      <c r="B1022" s="137">
        <v>44728</v>
      </c>
      <c r="C1022" s="132">
        <v>15360.6</v>
      </c>
      <c r="D1022" s="135">
        <f t="shared" si="15"/>
        <v>-0.00436831894587453</v>
      </c>
    </row>
    <row r="1023" ht="14.25" customHeight="1" spans="2:4">
      <c r="B1023" s="137">
        <v>44727</v>
      </c>
      <c r="C1023" s="132">
        <v>15692.15</v>
      </c>
      <c r="D1023" s="135">
        <f t="shared" si="15"/>
        <v>-0.0211283985942015</v>
      </c>
    </row>
    <row r="1024" ht="14.25" customHeight="1" spans="2:4">
      <c r="B1024" s="137">
        <v>44726</v>
      </c>
      <c r="C1024" s="132">
        <v>15732.1</v>
      </c>
      <c r="D1024" s="135">
        <f t="shared" si="15"/>
        <v>-0.0025393939779178</v>
      </c>
    </row>
    <row r="1025" ht="14.25" customHeight="1" spans="2:4">
      <c r="B1025" s="137">
        <v>44725</v>
      </c>
      <c r="C1025" s="132">
        <v>15774.4</v>
      </c>
      <c r="D1025" s="135">
        <f t="shared" si="15"/>
        <v>-0.00268155999594277</v>
      </c>
    </row>
    <row r="1026" ht="14.25" customHeight="1" spans="2:4">
      <c r="B1026" s="137">
        <v>44722</v>
      </c>
      <c r="C1026" s="132">
        <v>16201.8</v>
      </c>
      <c r="D1026" s="135">
        <f t="shared" si="15"/>
        <v>-0.0263797849621646</v>
      </c>
    </row>
    <row r="1027" ht="14.25" customHeight="1" spans="2:4">
      <c r="B1027" s="137">
        <v>44721</v>
      </c>
      <c r="C1027" s="132">
        <v>16478.1</v>
      </c>
      <c r="D1027" s="135">
        <f t="shared" si="15"/>
        <v>-0.0167677098694631</v>
      </c>
    </row>
    <row r="1028" ht="14.25" customHeight="1" spans="2:4">
      <c r="B1028" s="137">
        <v>44720</v>
      </c>
      <c r="C1028" s="132">
        <v>16356.25</v>
      </c>
      <c r="D1028" s="135">
        <f t="shared" si="15"/>
        <v>0.00744975162399686</v>
      </c>
    </row>
    <row r="1029" ht="14.25" customHeight="1" spans="2:4">
      <c r="B1029" s="137">
        <v>44719</v>
      </c>
      <c r="C1029" s="132">
        <v>16416.35</v>
      </c>
      <c r="D1029" s="135">
        <f t="shared" si="15"/>
        <v>-0.00366098432355544</v>
      </c>
    </row>
    <row r="1030" ht="14.25" customHeight="1" spans="2:4">
      <c r="B1030" s="137">
        <v>44718</v>
      </c>
      <c r="C1030" s="132">
        <v>16569.55</v>
      </c>
      <c r="D1030" s="135">
        <f t="shared" si="15"/>
        <v>-0.00924587571780766</v>
      </c>
    </row>
    <row r="1031" ht="14.25" customHeight="1" spans="2:4">
      <c r="B1031" s="137">
        <v>44715</v>
      </c>
      <c r="C1031" s="132">
        <v>16584.3</v>
      </c>
      <c r="D1031" s="135">
        <f t="shared" si="15"/>
        <v>-0.00088939539202737</v>
      </c>
    </row>
    <row r="1032" ht="14.25" customHeight="1" spans="2:4">
      <c r="B1032" s="137">
        <v>44714</v>
      </c>
      <c r="C1032" s="132">
        <v>16628</v>
      </c>
      <c r="D1032" s="135">
        <f t="shared" si="15"/>
        <v>-0.0026280971854703</v>
      </c>
    </row>
    <row r="1033" ht="14.25" customHeight="1" spans="2:4">
      <c r="B1033" s="137">
        <v>44713</v>
      </c>
      <c r="C1033" s="132">
        <v>16522.75</v>
      </c>
      <c r="D1033" s="135">
        <f t="shared" ref="D1033:D1096" si="16">C1032/C1033-1</f>
        <v>0.00637000499311546</v>
      </c>
    </row>
    <row r="1034" ht="14.25" customHeight="1" spans="2:4">
      <c r="B1034" s="137">
        <v>44712</v>
      </c>
      <c r="C1034" s="132">
        <v>16584.55</v>
      </c>
      <c r="D1034" s="135">
        <f t="shared" si="16"/>
        <v>-0.00372635977460944</v>
      </c>
    </row>
    <row r="1035" ht="14.25" customHeight="1" spans="2:4">
      <c r="B1035" s="137">
        <v>44711</v>
      </c>
      <c r="C1035" s="132">
        <v>16661.4</v>
      </c>
      <c r="D1035" s="135">
        <f t="shared" si="16"/>
        <v>-0.00461245753658168</v>
      </c>
    </row>
    <row r="1036" ht="14.25" customHeight="1" spans="2:4">
      <c r="B1036" s="137">
        <v>44708</v>
      </c>
      <c r="C1036" s="132">
        <v>16352.45</v>
      </c>
      <c r="D1036" s="135">
        <f t="shared" si="16"/>
        <v>0.0188931933746932</v>
      </c>
    </row>
    <row r="1037" ht="14.25" customHeight="1" spans="2:4">
      <c r="B1037" s="137">
        <v>44707</v>
      </c>
      <c r="C1037" s="132">
        <v>16170.15</v>
      </c>
      <c r="D1037" s="135">
        <f t="shared" si="16"/>
        <v>0.0112738595498496</v>
      </c>
    </row>
    <row r="1038" ht="14.25" customHeight="1" spans="2:4">
      <c r="B1038" s="137">
        <v>44706</v>
      </c>
      <c r="C1038" s="132">
        <v>16025.8</v>
      </c>
      <c r="D1038" s="135">
        <f t="shared" si="16"/>
        <v>0.00900735064708158</v>
      </c>
    </row>
    <row r="1039" ht="14.25" customHeight="1" spans="2:4">
      <c r="B1039" s="137">
        <v>44705</v>
      </c>
      <c r="C1039" s="132">
        <v>16125.15</v>
      </c>
      <c r="D1039" s="135">
        <f t="shared" si="16"/>
        <v>-0.00616118299674739</v>
      </c>
    </row>
    <row r="1040" ht="14.25" customHeight="1" spans="2:4">
      <c r="B1040" s="137">
        <v>44704</v>
      </c>
      <c r="C1040" s="132">
        <v>16214.7</v>
      </c>
      <c r="D1040" s="135">
        <f t="shared" si="16"/>
        <v>-0.00552276637865645</v>
      </c>
    </row>
    <row r="1041" ht="14.25" customHeight="1" spans="2:4">
      <c r="B1041" s="137">
        <v>44701</v>
      </c>
      <c r="C1041" s="132">
        <v>16266.15</v>
      </c>
      <c r="D1041" s="135">
        <f t="shared" si="16"/>
        <v>-0.00316301030053201</v>
      </c>
    </row>
    <row r="1042" ht="14.25" customHeight="1" spans="2:4">
      <c r="B1042" s="137">
        <v>44700</v>
      </c>
      <c r="C1042" s="132">
        <v>15809.4</v>
      </c>
      <c r="D1042" s="135">
        <f t="shared" si="16"/>
        <v>0.0288910395081408</v>
      </c>
    </row>
    <row r="1043" ht="14.25" customHeight="1" spans="2:4">
      <c r="B1043" s="137">
        <v>44699</v>
      </c>
      <c r="C1043" s="132">
        <v>16240.3</v>
      </c>
      <c r="D1043" s="135">
        <f t="shared" si="16"/>
        <v>-0.0265327610943148</v>
      </c>
    </row>
    <row r="1044" ht="14.25" customHeight="1" spans="2:4">
      <c r="B1044" s="137">
        <v>44698</v>
      </c>
      <c r="C1044" s="132">
        <v>16259.3</v>
      </c>
      <c r="D1044" s="135">
        <f t="shared" si="16"/>
        <v>-0.00116856199221371</v>
      </c>
    </row>
    <row r="1045" ht="14.25" customHeight="1" spans="2:4">
      <c r="B1045" s="137">
        <v>44697</v>
      </c>
      <c r="C1045" s="132">
        <v>15842.3</v>
      </c>
      <c r="D1045" s="135">
        <f t="shared" si="16"/>
        <v>0.0263219355775361</v>
      </c>
    </row>
    <row r="1046" ht="14.25" customHeight="1" spans="2:4">
      <c r="B1046" s="137">
        <v>44694</v>
      </c>
      <c r="C1046" s="132">
        <v>15782.15</v>
      </c>
      <c r="D1046" s="135">
        <f t="shared" si="16"/>
        <v>0.00381126779304464</v>
      </c>
    </row>
    <row r="1047" ht="14.25" customHeight="1" spans="2:4">
      <c r="B1047" s="137">
        <v>44693</v>
      </c>
      <c r="C1047" s="132">
        <v>15808</v>
      </c>
      <c r="D1047" s="135">
        <f t="shared" si="16"/>
        <v>-0.00163524797570858</v>
      </c>
    </row>
    <row r="1048" ht="14.25" customHeight="1" spans="2:4">
      <c r="B1048" s="137">
        <v>44692</v>
      </c>
      <c r="C1048" s="132">
        <v>16167.1</v>
      </c>
      <c r="D1048" s="135">
        <f t="shared" si="16"/>
        <v>-0.0222117757668351</v>
      </c>
    </row>
    <row r="1049" ht="14.25" customHeight="1" spans="2:4">
      <c r="B1049" s="137">
        <v>44691</v>
      </c>
      <c r="C1049" s="132">
        <v>16240.05</v>
      </c>
      <c r="D1049" s="135">
        <f t="shared" si="16"/>
        <v>-0.00449198124390005</v>
      </c>
    </row>
    <row r="1050" ht="14.25" customHeight="1" spans="2:4">
      <c r="B1050" s="137">
        <v>44690</v>
      </c>
      <c r="C1050" s="132">
        <v>16301.85</v>
      </c>
      <c r="D1050" s="135">
        <f t="shared" si="16"/>
        <v>-0.00379098077825535</v>
      </c>
    </row>
    <row r="1051" ht="14.25" customHeight="1" spans="2:4">
      <c r="B1051" s="137">
        <v>44687</v>
      </c>
      <c r="C1051" s="132">
        <v>16411.25</v>
      </c>
      <c r="D1051" s="135">
        <f t="shared" si="16"/>
        <v>-0.00666615888491129</v>
      </c>
    </row>
    <row r="1052" ht="14.25" customHeight="1" spans="2:4">
      <c r="B1052" s="137">
        <v>44686</v>
      </c>
      <c r="C1052" s="132">
        <v>16682.65</v>
      </c>
      <c r="D1052" s="135">
        <f t="shared" si="16"/>
        <v>-0.0162683986057371</v>
      </c>
    </row>
    <row r="1053" ht="14.25" customHeight="1" spans="2:4">
      <c r="B1053" s="137">
        <v>44685</v>
      </c>
      <c r="C1053" s="132">
        <v>16677.6</v>
      </c>
      <c r="D1053" s="135">
        <f t="shared" si="16"/>
        <v>0.000302801362306537</v>
      </c>
    </row>
    <row r="1054" ht="14.25" customHeight="1" spans="2:4">
      <c r="B1054" s="137">
        <v>44683</v>
      </c>
      <c r="C1054" s="132">
        <v>17069.1</v>
      </c>
      <c r="D1054" s="135">
        <f t="shared" si="16"/>
        <v>-0.0229361829270436</v>
      </c>
    </row>
    <row r="1055" ht="14.25" customHeight="1" spans="2:4">
      <c r="B1055" s="137">
        <v>44680</v>
      </c>
      <c r="C1055" s="132">
        <v>17102.55</v>
      </c>
      <c r="D1055" s="135">
        <f t="shared" si="16"/>
        <v>-0.0019558486892306</v>
      </c>
    </row>
    <row r="1056" ht="14.25" customHeight="1" spans="2:4">
      <c r="B1056" s="137">
        <v>44679</v>
      </c>
      <c r="C1056" s="132">
        <v>17245.05</v>
      </c>
      <c r="D1056" s="135">
        <f t="shared" si="16"/>
        <v>-0.00826324075604301</v>
      </c>
    </row>
    <row r="1057" ht="14.25" customHeight="1" spans="2:4">
      <c r="B1057" s="137">
        <v>44678</v>
      </c>
      <c r="C1057" s="132">
        <v>17038.4</v>
      </c>
      <c r="D1057" s="135">
        <f t="shared" si="16"/>
        <v>0.0121284862428395</v>
      </c>
    </row>
    <row r="1058" ht="14.25" customHeight="1" spans="2:4">
      <c r="B1058" s="137">
        <v>44677</v>
      </c>
      <c r="C1058" s="132">
        <v>17200.8</v>
      </c>
      <c r="D1058" s="135">
        <f t="shared" si="16"/>
        <v>-0.00944142132924042</v>
      </c>
    </row>
    <row r="1059" ht="14.25" customHeight="1" spans="2:4">
      <c r="B1059" s="137">
        <v>44676</v>
      </c>
      <c r="C1059" s="132">
        <v>16953.95</v>
      </c>
      <c r="D1059" s="135">
        <f t="shared" si="16"/>
        <v>0.0145600287838525</v>
      </c>
    </row>
    <row r="1060" ht="14.25" customHeight="1" spans="2:4">
      <c r="B1060" s="137">
        <v>44673</v>
      </c>
      <c r="C1060" s="132">
        <v>17171.95</v>
      </c>
      <c r="D1060" s="135">
        <f t="shared" si="16"/>
        <v>-0.0126951219867284</v>
      </c>
    </row>
    <row r="1061" ht="14.25" customHeight="1" spans="2:4">
      <c r="B1061" s="137">
        <v>44672</v>
      </c>
      <c r="C1061" s="132">
        <v>17392.6</v>
      </c>
      <c r="D1061" s="135">
        <f t="shared" si="16"/>
        <v>-0.0126864298609752</v>
      </c>
    </row>
    <row r="1062" ht="14.25" customHeight="1" spans="2:4">
      <c r="B1062" s="137">
        <v>44671</v>
      </c>
      <c r="C1062" s="132">
        <v>17136.55</v>
      </c>
      <c r="D1062" s="135">
        <f t="shared" si="16"/>
        <v>0.0149417473178672</v>
      </c>
    </row>
    <row r="1063" ht="14.25" customHeight="1" spans="2:4">
      <c r="B1063" s="137">
        <v>44670</v>
      </c>
      <c r="C1063" s="132">
        <v>16958.65</v>
      </c>
      <c r="D1063" s="135">
        <f t="shared" si="16"/>
        <v>0.0104902218042118</v>
      </c>
    </row>
    <row r="1064" ht="14.25" customHeight="1" spans="2:4">
      <c r="B1064" s="137">
        <v>44669</v>
      </c>
      <c r="C1064" s="132">
        <v>17173.65</v>
      </c>
      <c r="D1064" s="135">
        <f t="shared" si="16"/>
        <v>-0.012519179091224</v>
      </c>
    </row>
    <row r="1065" ht="14.25" customHeight="1" spans="2:4">
      <c r="B1065" s="137">
        <v>44664</v>
      </c>
      <c r="C1065" s="132">
        <v>17475.65</v>
      </c>
      <c r="D1065" s="135">
        <f t="shared" si="16"/>
        <v>-0.0172811883964259</v>
      </c>
    </row>
    <row r="1066" ht="14.25" customHeight="1" spans="2:4">
      <c r="B1066" s="137">
        <v>44663</v>
      </c>
      <c r="C1066" s="132">
        <v>17530.3</v>
      </c>
      <c r="D1066" s="135">
        <f t="shared" si="16"/>
        <v>-0.00311745948443543</v>
      </c>
    </row>
    <row r="1067" ht="14.25" customHeight="1" spans="2:4">
      <c r="B1067" s="137">
        <v>44662</v>
      </c>
      <c r="C1067" s="132">
        <v>17674.95</v>
      </c>
      <c r="D1067" s="135">
        <f t="shared" si="16"/>
        <v>-0.00818389868146741</v>
      </c>
    </row>
    <row r="1068" ht="14.25" customHeight="1" spans="2:4">
      <c r="B1068" s="137">
        <v>44659</v>
      </c>
      <c r="C1068" s="132">
        <v>17784.35</v>
      </c>
      <c r="D1068" s="135">
        <f t="shared" si="16"/>
        <v>-0.00615147587626186</v>
      </c>
    </row>
    <row r="1069" ht="14.25" customHeight="1" spans="2:4">
      <c r="B1069" s="137">
        <v>44658</v>
      </c>
      <c r="C1069" s="132">
        <v>17639.55</v>
      </c>
      <c r="D1069" s="135">
        <f t="shared" si="16"/>
        <v>0.00820882618887664</v>
      </c>
    </row>
    <row r="1070" ht="14.25" customHeight="1" spans="2:4">
      <c r="B1070" s="137">
        <v>44657</v>
      </c>
      <c r="C1070" s="132">
        <v>17807.65</v>
      </c>
      <c r="D1070" s="135">
        <f t="shared" si="16"/>
        <v>-0.00943976324781781</v>
      </c>
    </row>
    <row r="1071" ht="14.25" customHeight="1" spans="2:4">
      <c r="B1071" s="137">
        <v>44656</v>
      </c>
      <c r="C1071" s="132">
        <v>17957.4</v>
      </c>
      <c r="D1071" s="135">
        <f t="shared" si="16"/>
        <v>-0.00833918050497284</v>
      </c>
    </row>
    <row r="1072" ht="14.25" customHeight="1" spans="2:4">
      <c r="B1072" s="137">
        <v>44655</v>
      </c>
      <c r="C1072" s="132">
        <v>18053.4</v>
      </c>
      <c r="D1072" s="135">
        <f t="shared" si="16"/>
        <v>-0.0053175579115291</v>
      </c>
    </row>
    <row r="1073" ht="14.25" customHeight="1" spans="2:4">
      <c r="B1073" s="137">
        <v>44652</v>
      </c>
      <c r="C1073" s="132">
        <v>17670.45</v>
      </c>
      <c r="D1073" s="135">
        <f t="shared" si="16"/>
        <v>0.0216717740634789</v>
      </c>
    </row>
    <row r="1074" ht="14.25" customHeight="1" spans="2:4">
      <c r="B1074" s="137">
        <v>44651</v>
      </c>
      <c r="C1074" s="132">
        <v>17464.75</v>
      </c>
      <c r="D1074" s="135">
        <f t="shared" si="16"/>
        <v>0.0117780099915545</v>
      </c>
    </row>
    <row r="1075" ht="14.25" customHeight="1" spans="2:4">
      <c r="B1075" s="137">
        <v>44650</v>
      </c>
      <c r="C1075" s="132">
        <v>17498.25</v>
      </c>
      <c r="D1075" s="135">
        <f t="shared" si="16"/>
        <v>-0.00191447716200188</v>
      </c>
    </row>
    <row r="1076" ht="14.25" customHeight="1" spans="2:4">
      <c r="B1076" s="137">
        <v>44649</v>
      </c>
      <c r="C1076" s="132">
        <v>17325.3</v>
      </c>
      <c r="D1076" s="135">
        <f t="shared" si="16"/>
        <v>0.00998251112534843</v>
      </c>
    </row>
    <row r="1077" ht="14.25" customHeight="1" spans="2:4">
      <c r="B1077" s="137">
        <v>44648</v>
      </c>
      <c r="C1077" s="132">
        <v>17222</v>
      </c>
      <c r="D1077" s="135">
        <f t="shared" si="16"/>
        <v>0.00599814191150849</v>
      </c>
    </row>
    <row r="1078" ht="14.25" customHeight="1" spans="2:4">
      <c r="B1078" s="137">
        <v>44645</v>
      </c>
      <c r="C1078" s="132">
        <v>17153</v>
      </c>
      <c r="D1078" s="135">
        <f t="shared" si="16"/>
        <v>0.00402261994986297</v>
      </c>
    </row>
    <row r="1079" ht="14.25" customHeight="1" spans="2:4">
      <c r="B1079" s="137">
        <v>44644</v>
      </c>
      <c r="C1079" s="132">
        <v>17222.75</v>
      </c>
      <c r="D1079" s="135">
        <f t="shared" si="16"/>
        <v>-0.00404987589090011</v>
      </c>
    </row>
    <row r="1080" ht="14.25" customHeight="1" spans="2:4">
      <c r="B1080" s="137">
        <v>44643</v>
      </c>
      <c r="C1080" s="132">
        <v>17245.65</v>
      </c>
      <c r="D1080" s="135">
        <f t="shared" si="16"/>
        <v>-0.00132787108633203</v>
      </c>
    </row>
    <row r="1081" ht="14.25" customHeight="1" spans="2:4">
      <c r="B1081" s="137">
        <v>44642</v>
      </c>
      <c r="C1081" s="132">
        <v>17315.5</v>
      </c>
      <c r="D1081" s="135">
        <f t="shared" si="16"/>
        <v>-0.00403395801449558</v>
      </c>
    </row>
    <row r="1082" ht="14.25" customHeight="1" spans="2:4">
      <c r="B1082" s="137">
        <v>44641</v>
      </c>
      <c r="C1082" s="132">
        <v>17117.6</v>
      </c>
      <c r="D1082" s="135">
        <f t="shared" si="16"/>
        <v>0.0115612001682479</v>
      </c>
    </row>
    <row r="1083" ht="14.25" customHeight="1" spans="2:4">
      <c r="B1083" s="137">
        <v>44637</v>
      </c>
      <c r="C1083" s="132">
        <v>17287.05</v>
      </c>
      <c r="D1083" s="135">
        <f t="shared" si="16"/>
        <v>-0.00980213512426942</v>
      </c>
    </row>
    <row r="1084" ht="14.25" customHeight="1" spans="2:4">
      <c r="B1084" s="137">
        <v>44636</v>
      </c>
      <c r="C1084" s="132">
        <v>16975.35</v>
      </c>
      <c r="D1084" s="135">
        <f t="shared" si="16"/>
        <v>0.0183619189000521</v>
      </c>
    </row>
    <row r="1085" ht="14.25" customHeight="1" spans="2:4">
      <c r="B1085" s="137">
        <v>44635</v>
      </c>
      <c r="C1085" s="132">
        <v>16663</v>
      </c>
      <c r="D1085" s="135">
        <f t="shared" si="16"/>
        <v>0.018745123927264</v>
      </c>
    </row>
    <row r="1086" ht="14.25" customHeight="1" spans="2:4">
      <c r="B1086" s="137">
        <v>44634</v>
      </c>
      <c r="C1086" s="132">
        <v>16871.3</v>
      </c>
      <c r="D1086" s="135">
        <f t="shared" si="16"/>
        <v>-0.0123464107685833</v>
      </c>
    </row>
    <row r="1087" ht="14.25" customHeight="1" spans="2:4">
      <c r="B1087" s="137">
        <v>44631</v>
      </c>
      <c r="C1087" s="132">
        <v>16630.45</v>
      </c>
      <c r="D1087" s="135">
        <f t="shared" si="16"/>
        <v>0.0144824704081969</v>
      </c>
    </row>
    <row r="1088" ht="14.25" customHeight="1" spans="2:4">
      <c r="B1088" s="137">
        <v>44630</v>
      </c>
      <c r="C1088" s="132">
        <v>16594.9</v>
      </c>
      <c r="D1088" s="135">
        <f t="shared" si="16"/>
        <v>0.00214222441834533</v>
      </c>
    </row>
    <row r="1089" ht="14.25" customHeight="1" spans="2:4">
      <c r="B1089" s="137">
        <v>44629</v>
      </c>
      <c r="C1089" s="132">
        <v>16345.35</v>
      </c>
      <c r="D1089" s="135">
        <f t="shared" si="16"/>
        <v>0.0152673390291429</v>
      </c>
    </row>
    <row r="1090" ht="14.25" customHeight="1" spans="2:4">
      <c r="B1090" s="137">
        <v>44628</v>
      </c>
      <c r="C1090" s="132">
        <v>16013.45</v>
      </c>
      <c r="D1090" s="135">
        <f t="shared" si="16"/>
        <v>0.0207263269314233</v>
      </c>
    </row>
    <row r="1091" ht="14.25" customHeight="1" spans="2:4">
      <c r="B1091" s="137">
        <v>44627</v>
      </c>
      <c r="C1091" s="132">
        <v>15863.15</v>
      </c>
      <c r="D1091" s="135">
        <f t="shared" si="16"/>
        <v>0.00947478905513721</v>
      </c>
    </row>
    <row r="1092" ht="14.25" customHeight="1" spans="2:4">
      <c r="B1092" s="137">
        <v>44624</v>
      </c>
      <c r="C1092" s="132">
        <v>16245.35</v>
      </c>
      <c r="D1092" s="135">
        <f t="shared" si="16"/>
        <v>-0.0235267322649251</v>
      </c>
    </row>
    <row r="1093" ht="14.25" customHeight="1" spans="2:4">
      <c r="B1093" s="137">
        <v>44623</v>
      </c>
      <c r="C1093" s="132">
        <v>16498.05</v>
      </c>
      <c r="D1093" s="135">
        <f t="shared" si="16"/>
        <v>-0.0153169617015344</v>
      </c>
    </row>
    <row r="1094" ht="14.25" customHeight="1" spans="2:4">
      <c r="B1094" s="137">
        <v>44622</v>
      </c>
      <c r="C1094" s="132">
        <v>16605.95</v>
      </c>
      <c r="D1094" s="135">
        <f t="shared" si="16"/>
        <v>-0.00649767101550958</v>
      </c>
    </row>
    <row r="1095" ht="14.25" customHeight="1" spans="2:4">
      <c r="B1095" s="137">
        <v>44620</v>
      </c>
      <c r="C1095" s="132">
        <v>16793.9</v>
      </c>
      <c r="D1095" s="135">
        <f t="shared" si="16"/>
        <v>-0.0111915636034513</v>
      </c>
    </row>
    <row r="1096" ht="14.25" customHeight="1" spans="2:4">
      <c r="B1096" s="137">
        <v>44617</v>
      </c>
      <c r="C1096" s="132">
        <v>16658.4</v>
      </c>
      <c r="D1096" s="135">
        <f t="shared" si="16"/>
        <v>0.00813403448110273</v>
      </c>
    </row>
    <row r="1097" ht="14.25" customHeight="1" spans="2:4">
      <c r="B1097" s="137">
        <v>44616</v>
      </c>
      <c r="C1097" s="132">
        <v>16247.95</v>
      </c>
      <c r="D1097" s="135">
        <f t="shared" ref="D1097:D1160" si="17">C1096/C1097-1</f>
        <v>0.0252616483925665</v>
      </c>
    </row>
    <row r="1098" ht="14.25" customHeight="1" spans="2:4">
      <c r="B1098" s="137">
        <v>44615</v>
      </c>
      <c r="C1098" s="132">
        <v>17063.25</v>
      </c>
      <c r="D1098" s="135">
        <f t="shared" si="17"/>
        <v>-0.0477810499172198</v>
      </c>
    </row>
    <row r="1099" ht="14.25" customHeight="1" spans="2:4">
      <c r="B1099" s="137">
        <v>44614</v>
      </c>
      <c r="C1099" s="132">
        <v>17092.2</v>
      </c>
      <c r="D1099" s="135">
        <f t="shared" si="17"/>
        <v>-0.00169375504616143</v>
      </c>
    </row>
    <row r="1100" ht="14.25" customHeight="1" spans="2:4">
      <c r="B1100" s="137">
        <v>44613</v>
      </c>
      <c r="C1100" s="132">
        <v>17206.65</v>
      </c>
      <c r="D1100" s="135">
        <f t="shared" si="17"/>
        <v>-0.00665149811264831</v>
      </c>
    </row>
    <row r="1101" ht="14.25" customHeight="1" spans="2:4">
      <c r="B1101" s="137">
        <v>44610</v>
      </c>
      <c r="C1101" s="132">
        <v>17276.3</v>
      </c>
      <c r="D1101" s="135">
        <f t="shared" si="17"/>
        <v>-0.00403153452996285</v>
      </c>
    </row>
    <row r="1102" ht="14.25" customHeight="1" spans="2:4">
      <c r="B1102" s="137">
        <v>44609</v>
      </c>
      <c r="C1102" s="132">
        <v>17304.6</v>
      </c>
      <c r="D1102" s="135">
        <f t="shared" si="17"/>
        <v>-0.00163540330316791</v>
      </c>
    </row>
    <row r="1103" ht="14.25" customHeight="1" spans="2:4">
      <c r="B1103" s="137">
        <v>44608</v>
      </c>
      <c r="C1103" s="132">
        <v>17322.2</v>
      </c>
      <c r="D1103" s="135">
        <f t="shared" si="17"/>
        <v>-0.00101603722390931</v>
      </c>
    </row>
    <row r="1104" ht="14.25" customHeight="1" spans="2:4">
      <c r="B1104" s="137">
        <v>44607</v>
      </c>
      <c r="C1104" s="132">
        <v>17352.45</v>
      </c>
      <c r="D1104" s="135">
        <f t="shared" si="17"/>
        <v>-0.00174326968237914</v>
      </c>
    </row>
    <row r="1105" ht="14.25" customHeight="1" spans="2:4">
      <c r="B1105" s="137">
        <v>44606</v>
      </c>
      <c r="C1105" s="132">
        <v>16842.8</v>
      </c>
      <c r="D1105" s="135">
        <f t="shared" si="17"/>
        <v>0.0302592205571521</v>
      </c>
    </row>
    <row r="1106" ht="14.25" customHeight="1" spans="2:4">
      <c r="B1106" s="137">
        <v>44603</v>
      </c>
      <c r="C1106" s="132">
        <v>17374.75</v>
      </c>
      <c r="D1106" s="135">
        <f t="shared" si="17"/>
        <v>-0.0306162678599693</v>
      </c>
    </row>
    <row r="1107" ht="14.25" customHeight="1" spans="2:4">
      <c r="B1107" s="137">
        <v>44602</v>
      </c>
      <c r="C1107" s="132">
        <v>17605.85</v>
      </c>
      <c r="D1107" s="135">
        <f t="shared" si="17"/>
        <v>-0.013126318808805</v>
      </c>
    </row>
    <row r="1108" ht="14.25" customHeight="1" spans="2:4">
      <c r="B1108" s="137">
        <v>44601</v>
      </c>
      <c r="C1108" s="132">
        <v>17463.8</v>
      </c>
      <c r="D1108" s="135">
        <f t="shared" si="17"/>
        <v>0.00813396855209048</v>
      </c>
    </row>
    <row r="1109" ht="14.25" customHeight="1" spans="2:4">
      <c r="B1109" s="137">
        <v>44600</v>
      </c>
      <c r="C1109" s="132">
        <v>17266.75</v>
      </c>
      <c r="D1109" s="135">
        <f t="shared" si="17"/>
        <v>0.0114121070844253</v>
      </c>
    </row>
    <row r="1110" ht="14.25" customHeight="1" spans="2:4">
      <c r="B1110" s="137">
        <v>44599</v>
      </c>
      <c r="C1110" s="132">
        <v>17213.6</v>
      </c>
      <c r="D1110" s="135">
        <f t="shared" si="17"/>
        <v>0.00308767486173722</v>
      </c>
    </row>
    <row r="1111" ht="14.25" customHeight="1" spans="2:4">
      <c r="B1111" s="137">
        <v>44596</v>
      </c>
      <c r="C1111" s="132">
        <v>17516.3</v>
      </c>
      <c r="D1111" s="135">
        <f t="shared" si="17"/>
        <v>-0.0172810467964125</v>
      </c>
    </row>
    <row r="1112" ht="14.25" customHeight="1" spans="2:4">
      <c r="B1112" s="137">
        <v>44595</v>
      </c>
      <c r="C1112" s="132">
        <v>17560.2</v>
      </c>
      <c r="D1112" s="135">
        <f t="shared" si="17"/>
        <v>-0.00249997152652026</v>
      </c>
    </row>
    <row r="1113" ht="14.25" customHeight="1" spans="2:4">
      <c r="B1113" s="137">
        <v>44594</v>
      </c>
      <c r="C1113" s="132">
        <v>17780</v>
      </c>
      <c r="D1113" s="135">
        <f t="shared" si="17"/>
        <v>-0.0123622047244094</v>
      </c>
    </row>
    <row r="1114" ht="14.25" customHeight="1" spans="2:4">
      <c r="B1114" s="137">
        <v>44593</v>
      </c>
      <c r="C1114" s="132">
        <v>17576.85</v>
      </c>
      <c r="D1114" s="135">
        <f t="shared" si="17"/>
        <v>0.0115578161047061</v>
      </c>
    </row>
    <row r="1115" ht="14.25" customHeight="1" spans="2:4">
      <c r="B1115" s="137">
        <v>44592</v>
      </c>
      <c r="C1115" s="132">
        <v>17339.85</v>
      </c>
      <c r="D1115" s="135">
        <f t="shared" si="17"/>
        <v>0.0136679383039646</v>
      </c>
    </row>
    <row r="1116" ht="14.25" customHeight="1" spans="2:4">
      <c r="B1116" s="137">
        <v>44589</v>
      </c>
      <c r="C1116" s="132">
        <v>17101.95</v>
      </c>
      <c r="D1116" s="135">
        <f t="shared" si="17"/>
        <v>0.0139106943944987</v>
      </c>
    </row>
    <row r="1117" ht="14.25" customHeight="1" spans="2:4">
      <c r="B1117" s="137">
        <v>44588</v>
      </c>
      <c r="C1117" s="132">
        <v>17110.15</v>
      </c>
      <c r="D1117" s="135">
        <f t="shared" si="17"/>
        <v>-0.000479247698003893</v>
      </c>
    </row>
    <row r="1118" ht="14.25" customHeight="1" spans="2:4">
      <c r="B1118" s="137">
        <v>44586</v>
      </c>
      <c r="C1118" s="132">
        <v>17277.95</v>
      </c>
      <c r="D1118" s="135">
        <f t="shared" si="17"/>
        <v>-0.00971180030038277</v>
      </c>
    </row>
    <row r="1119" ht="14.25" customHeight="1" spans="2:4">
      <c r="B1119" s="137">
        <v>44585</v>
      </c>
      <c r="C1119" s="132">
        <v>17149.1</v>
      </c>
      <c r="D1119" s="135">
        <f t="shared" si="17"/>
        <v>0.00751351382871412</v>
      </c>
    </row>
    <row r="1120" ht="14.25" customHeight="1" spans="2:4">
      <c r="B1120" s="137">
        <v>44582</v>
      </c>
      <c r="C1120" s="132">
        <v>17617.15</v>
      </c>
      <c r="D1120" s="135">
        <f t="shared" si="17"/>
        <v>-0.0265678614304813</v>
      </c>
    </row>
    <row r="1121" ht="14.25" customHeight="1" spans="2:4">
      <c r="B1121" s="137">
        <v>44581</v>
      </c>
      <c r="C1121" s="132">
        <v>17757</v>
      </c>
      <c r="D1121" s="135">
        <f t="shared" si="17"/>
        <v>-0.0078757673030353</v>
      </c>
    </row>
    <row r="1122" ht="14.25" customHeight="1" spans="2:4">
      <c r="B1122" s="137">
        <v>44580</v>
      </c>
      <c r="C1122" s="132">
        <v>17938.4</v>
      </c>
      <c r="D1122" s="135">
        <f t="shared" si="17"/>
        <v>-0.0101123846050931</v>
      </c>
    </row>
    <row r="1123" ht="14.25" customHeight="1" spans="2:4">
      <c r="B1123" s="137">
        <v>44579</v>
      </c>
      <c r="C1123" s="132">
        <v>18113.05</v>
      </c>
      <c r="D1123" s="135">
        <f t="shared" si="17"/>
        <v>-0.00964221928388631</v>
      </c>
    </row>
    <row r="1124" ht="14.25" customHeight="1" spans="2:4">
      <c r="B1124" s="137">
        <v>44578</v>
      </c>
      <c r="C1124" s="132">
        <v>18308.1</v>
      </c>
      <c r="D1124" s="135">
        <f t="shared" si="17"/>
        <v>-0.0106537543491678</v>
      </c>
    </row>
    <row r="1125" ht="14.25" customHeight="1" spans="2:4">
      <c r="B1125" s="137">
        <v>44575</v>
      </c>
      <c r="C1125" s="132">
        <v>18255.75</v>
      </c>
      <c r="D1125" s="135">
        <f t="shared" si="17"/>
        <v>0.00286758966353062</v>
      </c>
    </row>
    <row r="1126" ht="14.25" customHeight="1" spans="2:4">
      <c r="B1126" s="137">
        <v>44574</v>
      </c>
      <c r="C1126" s="132">
        <v>18257.8</v>
      </c>
      <c r="D1126" s="135">
        <f t="shared" si="17"/>
        <v>-0.000112280778626128</v>
      </c>
    </row>
    <row r="1127" ht="14.25" customHeight="1" spans="2:4">
      <c r="B1127" s="137">
        <v>44573</v>
      </c>
      <c r="C1127" s="132">
        <v>18212.35</v>
      </c>
      <c r="D1127" s="135">
        <f t="shared" si="17"/>
        <v>0.00249555933199175</v>
      </c>
    </row>
    <row r="1128" ht="14.25" customHeight="1" spans="2:4">
      <c r="B1128" s="137">
        <v>44572</v>
      </c>
      <c r="C1128" s="132">
        <v>18055.75</v>
      </c>
      <c r="D1128" s="135">
        <f t="shared" si="17"/>
        <v>0.008673137366213</v>
      </c>
    </row>
    <row r="1129" ht="14.25" customHeight="1" spans="2:4">
      <c r="B1129" s="137">
        <v>44571</v>
      </c>
      <c r="C1129" s="132">
        <v>18003.3</v>
      </c>
      <c r="D1129" s="135">
        <f t="shared" si="17"/>
        <v>0.00291335477384713</v>
      </c>
    </row>
    <row r="1130" ht="14.25" customHeight="1" spans="2:4">
      <c r="B1130" s="137">
        <v>44568</v>
      </c>
      <c r="C1130" s="132">
        <v>17812.7</v>
      </c>
      <c r="D1130" s="135">
        <f t="shared" si="17"/>
        <v>0.0107002307342514</v>
      </c>
    </row>
    <row r="1131" ht="14.25" customHeight="1" spans="2:4">
      <c r="B1131" s="137">
        <v>44567</v>
      </c>
      <c r="C1131" s="132">
        <v>17745.9</v>
      </c>
      <c r="D1131" s="135">
        <f t="shared" si="17"/>
        <v>0.00376424977036938</v>
      </c>
    </row>
    <row r="1132" ht="14.25" customHeight="1" spans="2:4">
      <c r="B1132" s="137">
        <v>44566</v>
      </c>
      <c r="C1132" s="132">
        <v>17925.25</v>
      </c>
      <c r="D1132" s="135">
        <f t="shared" si="17"/>
        <v>-0.0100054392546826</v>
      </c>
    </row>
    <row r="1133" ht="14.25" customHeight="1" spans="2:4">
      <c r="B1133" s="137">
        <v>44565</v>
      </c>
      <c r="C1133" s="132">
        <v>17805.25</v>
      </c>
      <c r="D1133" s="135">
        <f t="shared" si="17"/>
        <v>0.00673958523469209</v>
      </c>
    </row>
    <row r="1134" ht="14.25" customHeight="1" spans="2:4">
      <c r="B1134" s="137">
        <v>44564</v>
      </c>
      <c r="C1134" s="132">
        <v>17625.7</v>
      </c>
      <c r="D1134" s="135">
        <f t="shared" si="17"/>
        <v>0.0101868294592555</v>
      </c>
    </row>
    <row r="1135" ht="14.25" customHeight="1" spans="2:4">
      <c r="B1135" s="137">
        <v>44561</v>
      </c>
      <c r="C1135" s="132">
        <v>17354.05</v>
      </c>
      <c r="D1135" s="135">
        <f t="shared" si="17"/>
        <v>0.0156534065535134</v>
      </c>
    </row>
    <row r="1136" ht="14.25" customHeight="1" spans="2:4">
      <c r="B1136" s="137">
        <v>44560</v>
      </c>
      <c r="C1136" s="132">
        <v>17203.95</v>
      </c>
      <c r="D1136" s="135">
        <f t="shared" si="17"/>
        <v>0.00872474053923655</v>
      </c>
    </row>
    <row r="1137" ht="14.25" customHeight="1" spans="2:4">
      <c r="B1137" s="137">
        <v>44559</v>
      </c>
      <c r="C1137" s="132">
        <v>17213.6</v>
      </c>
      <c r="D1137" s="135">
        <f t="shared" si="17"/>
        <v>-0.000560603243946467</v>
      </c>
    </row>
    <row r="1138" ht="14.25" customHeight="1" spans="2:4">
      <c r="B1138" s="137">
        <v>44558</v>
      </c>
      <c r="C1138" s="132">
        <v>17233.25</v>
      </c>
      <c r="D1138" s="135">
        <f t="shared" si="17"/>
        <v>-0.00114023762203885</v>
      </c>
    </row>
    <row r="1139" ht="14.25" customHeight="1" spans="2:4">
      <c r="B1139" s="137">
        <v>44557</v>
      </c>
      <c r="C1139" s="132">
        <v>17086.25</v>
      </c>
      <c r="D1139" s="135">
        <f t="shared" si="17"/>
        <v>0.00860340917404345</v>
      </c>
    </row>
    <row r="1140" ht="14.25" customHeight="1" spans="2:4">
      <c r="B1140" s="137">
        <v>44554</v>
      </c>
      <c r="C1140" s="132">
        <v>17003.75</v>
      </c>
      <c r="D1140" s="135">
        <f t="shared" si="17"/>
        <v>0.0048518709108285</v>
      </c>
    </row>
    <row r="1141" ht="14.25" customHeight="1" spans="2:4">
      <c r="B1141" s="137">
        <v>44553</v>
      </c>
      <c r="C1141" s="132">
        <v>17072.6</v>
      </c>
      <c r="D1141" s="135">
        <f t="shared" si="17"/>
        <v>-0.00403277766713905</v>
      </c>
    </row>
    <row r="1142" ht="14.25" customHeight="1" spans="2:4">
      <c r="B1142" s="137">
        <v>44552</v>
      </c>
      <c r="C1142" s="132">
        <v>16955.45</v>
      </c>
      <c r="D1142" s="135">
        <f t="shared" si="17"/>
        <v>0.00690928285595471</v>
      </c>
    </row>
    <row r="1143" ht="14.25" customHeight="1" spans="2:4">
      <c r="B1143" s="137">
        <v>44551</v>
      </c>
      <c r="C1143" s="132">
        <v>16770.85</v>
      </c>
      <c r="D1143" s="135">
        <f t="shared" si="17"/>
        <v>0.011007194030118</v>
      </c>
    </row>
    <row r="1144" ht="14.25" customHeight="1" spans="2:4">
      <c r="B1144" s="137">
        <v>44550</v>
      </c>
      <c r="C1144" s="132">
        <v>16614.2</v>
      </c>
      <c r="D1144" s="135">
        <f t="shared" si="17"/>
        <v>0.00942868148932829</v>
      </c>
    </row>
    <row r="1145" ht="14.25" customHeight="1" spans="2:4">
      <c r="B1145" s="137">
        <v>44547</v>
      </c>
      <c r="C1145" s="132">
        <v>16985.2</v>
      </c>
      <c r="D1145" s="135">
        <f t="shared" si="17"/>
        <v>-0.0218425452747097</v>
      </c>
    </row>
    <row r="1146" ht="14.25" customHeight="1" spans="2:4">
      <c r="B1146" s="137">
        <v>44546</v>
      </c>
      <c r="C1146" s="132">
        <v>17248.4</v>
      </c>
      <c r="D1146" s="135">
        <f t="shared" si="17"/>
        <v>-0.0152593863778669</v>
      </c>
    </row>
    <row r="1147" ht="14.25" customHeight="1" spans="2:4">
      <c r="B1147" s="137">
        <v>44545</v>
      </c>
      <c r="C1147" s="132">
        <v>17221.4</v>
      </c>
      <c r="D1147" s="135">
        <f t="shared" si="17"/>
        <v>0.00156781678609175</v>
      </c>
    </row>
    <row r="1148" ht="14.25" customHeight="1" spans="2:4">
      <c r="B1148" s="137">
        <v>44544</v>
      </c>
      <c r="C1148" s="132">
        <v>17324.9</v>
      </c>
      <c r="D1148" s="135">
        <f t="shared" si="17"/>
        <v>-0.00597406045633742</v>
      </c>
    </row>
    <row r="1149" ht="14.25" customHeight="1" spans="2:4">
      <c r="B1149" s="137">
        <v>44543</v>
      </c>
      <c r="C1149" s="132">
        <v>17368.25</v>
      </c>
      <c r="D1149" s="135">
        <f t="shared" si="17"/>
        <v>-0.00249593367207401</v>
      </c>
    </row>
    <row r="1150" ht="14.25" customHeight="1" spans="2:4">
      <c r="B1150" s="137">
        <v>44540</v>
      </c>
      <c r="C1150" s="132">
        <v>17511.3</v>
      </c>
      <c r="D1150" s="135">
        <f t="shared" si="17"/>
        <v>-0.00816901086726851</v>
      </c>
    </row>
    <row r="1151" ht="14.25" customHeight="1" spans="2:4">
      <c r="B1151" s="137">
        <v>44539</v>
      </c>
      <c r="C1151" s="132">
        <v>17516.85</v>
      </c>
      <c r="D1151" s="135">
        <f t="shared" si="17"/>
        <v>-0.000316837787615931</v>
      </c>
    </row>
    <row r="1152" ht="14.25" customHeight="1" spans="2:4">
      <c r="B1152" s="137">
        <v>44538</v>
      </c>
      <c r="C1152" s="132">
        <v>17469.75</v>
      </c>
      <c r="D1152" s="135">
        <f t="shared" si="17"/>
        <v>0.00269608895376283</v>
      </c>
    </row>
    <row r="1153" ht="14.25" customHeight="1" spans="2:4">
      <c r="B1153" s="137">
        <v>44537</v>
      </c>
      <c r="C1153" s="132">
        <v>17176.7</v>
      </c>
      <c r="D1153" s="135">
        <f t="shared" si="17"/>
        <v>0.0170609022687711</v>
      </c>
    </row>
    <row r="1154" ht="14.25" customHeight="1" spans="2:4">
      <c r="B1154" s="137">
        <v>44536</v>
      </c>
      <c r="C1154" s="132">
        <v>16912.25</v>
      </c>
      <c r="D1154" s="135">
        <f t="shared" si="17"/>
        <v>0.015636594775976</v>
      </c>
    </row>
    <row r="1155" ht="14.25" customHeight="1" spans="2:4">
      <c r="B1155" s="137">
        <v>44533</v>
      </c>
      <c r="C1155" s="132">
        <v>17196.7</v>
      </c>
      <c r="D1155" s="135">
        <f t="shared" si="17"/>
        <v>-0.0165409642547698</v>
      </c>
    </row>
    <row r="1156" ht="14.25" customHeight="1" spans="2:4">
      <c r="B1156" s="137">
        <v>44532</v>
      </c>
      <c r="C1156" s="132">
        <v>17401.65</v>
      </c>
      <c r="D1156" s="135">
        <f t="shared" si="17"/>
        <v>-0.0117776187890229</v>
      </c>
    </row>
    <row r="1157" ht="14.25" customHeight="1" spans="2:4">
      <c r="B1157" s="137">
        <v>44531</v>
      </c>
      <c r="C1157" s="132">
        <v>17166.9</v>
      </c>
      <c r="D1157" s="135">
        <f t="shared" si="17"/>
        <v>0.0136745714135924</v>
      </c>
    </row>
    <row r="1158" ht="14.25" customHeight="1" spans="2:4">
      <c r="B1158" s="137">
        <v>44530</v>
      </c>
      <c r="C1158" s="132">
        <v>16983.2</v>
      </c>
      <c r="D1158" s="135">
        <f t="shared" si="17"/>
        <v>0.0108165716708277</v>
      </c>
    </row>
    <row r="1159" ht="14.25" customHeight="1" spans="2:4">
      <c r="B1159" s="137">
        <v>44529</v>
      </c>
      <c r="C1159" s="132">
        <v>17053.95</v>
      </c>
      <c r="D1159" s="135">
        <f t="shared" si="17"/>
        <v>-0.00414859900492259</v>
      </c>
    </row>
    <row r="1160" ht="14.25" customHeight="1" spans="2:4">
      <c r="B1160" s="137">
        <v>44526</v>
      </c>
      <c r="C1160" s="132">
        <v>17026.45</v>
      </c>
      <c r="D1160" s="135">
        <f t="shared" si="17"/>
        <v>0.00161513410017933</v>
      </c>
    </row>
    <row r="1161" ht="14.25" customHeight="1" spans="2:4">
      <c r="B1161" s="137">
        <v>44525</v>
      </c>
      <c r="C1161" s="132">
        <v>17536.25</v>
      </c>
      <c r="D1161" s="135">
        <f t="shared" ref="D1161:D1224" si="18">C1160/C1161-1</f>
        <v>-0.0290712096371801</v>
      </c>
    </row>
    <row r="1162" ht="14.25" customHeight="1" spans="2:4">
      <c r="B1162" s="137">
        <v>44524</v>
      </c>
      <c r="C1162" s="132">
        <v>17415.05</v>
      </c>
      <c r="D1162" s="135">
        <f t="shared" si="18"/>
        <v>0.0069594976758609</v>
      </c>
    </row>
    <row r="1163" ht="14.25" customHeight="1" spans="2:4">
      <c r="B1163" s="137">
        <v>44523</v>
      </c>
      <c r="C1163" s="132">
        <v>17503.35</v>
      </c>
      <c r="D1163" s="135">
        <f t="shared" si="18"/>
        <v>-0.00504474857670101</v>
      </c>
    </row>
    <row r="1164" ht="14.25" customHeight="1" spans="2:4">
      <c r="B1164" s="137">
        <v>44522</v>
      </c>
      <c r="C1164" s="132">
        <v>17416.55</v>
      </c>
      <c r="D1164" s="135">
        <f t="shared" si="18"/>
        <v>0.00498376544149104</v>
      </c>
    </row>
    <row r="1165" ht="14.25" customHeight="1" spans="2:4">
      <c r="B1165" s="137">
        <v>44518</v>
      </c>
      <c r="C1165" s="132">
        <v>17764.8</v>
      </c>
      <c r="D1165" s="135">
        <f t="shared" si="18"/>
        <v>-0.0196033729622624</v>
      </c>
    </row>
    <row r="1166" ht="14.25" customHeight="1" spans="2:4">
      <c r="B1166" s="137">
        <v>44517</v>
      </c>
      <c r="C1166" s="132">
        <v>17898.65</v>
      </c>
      <c r="D1166" s="135">
        <f t="shared" si="18"/>
        <v>-0.00747821763093881</v>
      </c>
    </row>
    <row r="1167" ht="14.25" customHeight="1" spans="2:4">
      <c r="B1167" s="137">
        <v>44516</v>
      </c>
      <c r="C1167" s="132">
        <v>17999.2</v>
      </c>
      <c r="D1167" s="135">
        <f t="shared" si="18"/>
        <v>-0.00558635939375074</v>
      </c>
    </row>
    <row r="1168" ht="14.25" customHeight="1" spans="2:4">
      <c r="B1168" s="137">
        <v>44515</v>
      </c>
      <c r="C1168" s="132">
        <v>18109.45</v>
      </c>
      <c r="D1168" s="135">
        <f t="shared" si="18"/>
        <v>-0.00608798168911806</v>
      </c>
    </row>
    <row r="1169" ht="14.25" customHeight="1" spans="2:4">
      <c r="B1169" s="137">
        <v>44512</v>
      </c>
      <c r="C1169" s="132">
        <v>18102.75</v>
      </c>
      <c r="D1169" s="135">
        <f t="shared" si="18"/>
        <v>0.000370109513748051</v>
      </c>
    </row>
    <row r="1170" ht="14.25" customHeight="1" spans="2:4">
      <c r="B1170" s="137">
        <v>44511</v>
      </c>
      <c r="C1170" s="132">
        <v>17873.6</v>
      </c>
      <c r="D1170" s="135">
        <f t="shared" si="18"/>
        <v>0.0128205845492795</v>
      </c>
    </row>
    <row r="1171" ht="14.25" customHeight="1" spans="2:4">
      <c r="B1171" s="137">
        <v>44510</v>
      </c>
      <c r="C1171" s="132">
        <v>18017.2</v>
      </c>
      <c r="D1171" s="135">
        <f t="shared" si="18"/>
        <v>-0.00797016184534793</v>
      </c>
    </row>
    <row r="1172" ht="14.25" customHeight="1" spans="2:4">
      <c r="B1172" s="137">
        <v>44509</v>
      </c>
      <c r="C1172" s="132">
        <v>18044.25</v>
      </c>
      <c r="D1172" s="135">
        <f t="shared" si="18"/>
        <v>-0.00149909250869384</v>
      </c>
    </row>
    <row r="1173" ht="14.25" customHeight="1" spans="2:4">
      <c r="B1173" s="137">
        <v>44508</v>
      </c>
      <c r="C1173" s="132">
        <v>18068.55</v>
      </c>
      <c r="D1173" s="135">
        <f t="shared" si="18"/>
        <v>-0.00134487825531093</v>
      </c>
    </row>
    <row r="1174" ht="14.25" customHeight="1" spans="2:4">
      <c r="B1174" s="137">
        <v>44504</v>
      </c>
      <c r="C1174" s="132">
        <v>17916.8</v>
      </c>
      <c r="D1174" s="135">
        <f t="shared" si="18"/>
        <v>0.00846970441150208</v>
      </c>
    </row>
    <row r="1175" ht="14.25" customHeight="1" spans="2:4">
      <c r="B1175" s="137">
        <v>44503</v>
      </c>
      <c r="C1175" s="132">
        <v>17829.2</v>
      </c>
      <c r="D1175" s="135">
        <f t="shared" si="18"/>
        <v>0.00491328831355298</v>
      </c>
    </row>
    <row r="1176" ht="14.25" customHeight="1" spans="2:4">
      <c r="B1176" s="137">
        <v>44502</v>
      </c>
      <c r="C1176" s="132">
        <v>17888.95</v>
      </c>
      <c r="D1176" s="135">
        <f t="shared" si="18"/>
        <v>-0.00334005070169019</v>
      </c>
    </row>
    <row r="1177" ht="14.25" customHeight="1" spans="2:4">
      <c r="B1177" s="137">
        <v>44501</v>
      </c>
      <c r="C1177" s="132">
        <v>17929.65</v>
      </c>
      <c r="D1177" s="135">
        <f t="shared" si="18"/>
        <v>-0.00226998296118441</v>
      </c>
    </row>
    <row r="1178" ht="14.25" customHeight="1" spans="2:4">
      <c r="B1178" s="137">
        <v>44498</v>
      </c>
      <c r="C1178" s="132">
        <v>17671.65</v>
      </c>
      <c r="D1178" s="135">
        <f t="shared" si="18"/>
        <v>0.0145996553802277</v>
      </c>
    </row>
    <row r="1179" ht="14.25" customHeight="1" spans="2:4">
      <c r="B1179" s="137">
        <v>44497</v>
      </c>
      <c r="C1179" s="132">
        <v>17857.25</v>
      </c>
      <c r="D1179" s="135">
        <f t="shared" si="18"/>
        <v>-0.010393537638774</v>
      </c>
    </row>
    <row r="1180" ht="14.25" customHeight="1" spans="2:4">
      <c r="B1180" s="137">
        <v>44496</v>
      </c>
      <c r="C1180" s="132">
        <v>18210.95</v>
      </c>
      <c r="D1180" s="135">
        <f t="shared" si="18"/>
        <v>-0.0194223804908585</v>
      </c>
    </row>
    <row r="1181" ht="14.25" customHeight="1" spans="2:4">
      <c r="B1181" s="137">
        <v>44495</v>
      </c>
      <c r="C1181" s="132">
        <v>18268.4</v>
      </c>
      <c r="D1181" s="135">
        <f t="shared" si="18"/>
        <v>-0.00314477458343376</v>
      </c>
    </row>
    <row r="1182" ht="14.25" customHeight="1" spans="2:4">
      <c r="B1182" s="137">
        <v>44494</v>
      </c>
      <c r="C1182" s="132">
        <v>18125.4</v>
      </c>
      <c r="D1182" s="135">
        <f t="shared" si="18"/>
        <v>0.00788948105972831</v>
      </c>
    </row>
    <row r="1183" ht="14.25" customHeight="1" spans="2:4">
      <c r="B1183" s="137">
        <v>44491</v>
      </c>
      <c r="C1183" s="132">
        <v>18114.9</v>
      </c>
      <c r="D1183" s="135">
        <f t="shared" si="18"/>
        <v>0.0005796333405097</v>
      </c>
    </row>
    <row r="1184" ht="14.25" customHeight="1" spans="2:4">
      <c r="B1184" s="137">
        <v>44490</v>
      </c>
      <c r="C1184" s="132">
        <v>18178.1</v>
      </c>
      <c r="D1184" s="135">
        <f t="shared" si="18"/>
        <v>-0.00347671098739677</v>
      </c>
    </row>
    <row r="1185" ht="14.25" customHeight="1" spans="2:4">
      <c r="B1185" s="137">
        <v>44489</v>
      </c>
      <c r="C1185" s="132">
        <v>18266.6</v>
      </c>
      <c r="D1185" s="135">
        <f t="shared" si="18"/>
        <v>-0.00484490819309558</v>
      </c>
    </row>
    <row r="1186" ht="14.25" customHeight="1" spans="2:4">
      <c r="B1186" s="137">
        <v>44488</v>
      </c>
      <c r="C1186" s="132">
        <v>18418.75</v>
      </c>
      <c r="D1186" s="135">
        <f t="shared" si="18"/>
        <v>-0.00826060400407203</v>
      </c>
    </row>
    <row r="1187" ht="14.25" customHeight="1" spans="2:4">
      <c r="B1187" s="137">
        <v>44487</v>
      </c>
      <c r="C1187" s="132">
        <v>18477.05</v>
      </c>
      <c r="D1187" s="135">
        <f t="shared" si="18"/>
        <v>-0.00315526558622725</v>
      </c>
    </row>
    <row r="1188" ht="14.25" customHeight="1" spans="2:4">
      <c r="B1188" s="137">
        <v>44483</v>
      </c>
      <c r="C1188" s="132">
        <v>18338.55</v>
      </c>
      <c r="D1188" s="135">
        <f t="shared" si="18"/>
        <v>0.00755239645446348</v>
      </c>
    </row>
    <row r="1189" ht="14.25" customHeight="1" spans="2:4">
      <c r="B1189" s="137">
        <v>44482</v>
      </c>
      <c r="C1189" s="132">
        <v>18161.75</v>
      </c>
      <c r="D1189" s="135">
        <f t="shared" si="18"/>
        <v>0.00973474472448954</v>
      </c>
    </row>
    <row r="1190" ht="14.25" customHeight="1" spans="2:4">
      <c r="B1190" s="137">
        <v>44481</v>
      </c>
      <c r="C1190" s="132">
        <v>17991.95</v>
      </c>
      <c r="D1190" s="135">
        <f t="shared" si="18"/>
        <v>0.00943755401721313</v>
      </c>
    </row>
    <row r="1191" ht="14.25" customHeight="1" spans="2:4">
      <c r="B1191" s="137">
        <v>44480</v>
      </c>
      <c r="C1191" s="132">
        <v>17945.95</v>
      </c>
      <c r="D1191" s="135">
        <f t="shared" si="18"/>
        <v>0.00256325243300015</v>
      </c>
    </row>
    <row r="1192" ht="14.25" customHeight="1" spans="2:4">
      <c r="B1192" s="137">
        <v>44477</v>
      </c>
      <c r="C1192" s="132">
        <v>17895.2</v>
      </c>
      <c r="D1192" s="135">
        <f t="shared" si="18"/>
        <v>0.00283595601055042</v>
      </c>
    </row>
    <row r="1193" ht="14.25" customHeight="1" spans="2:4">
      <c r="B1193" s="137">
        <v>44476</v>
      </c>
      <c r="C1193" s="132">
        <v>17790.35</v>
      </c>
      <c r="D1193" s="135">
        <f t="shared" si="18"/>
        <v>0.00589364458821784</v>
      </c>
    </row>
    <row r="1194" ht="14.25" customHeight="1" spans="2:4">
      <c r="B1194" s="137">
        <v>44475</v>
      </c>
      <c r="C1194" s="132">
        <v>17646</v>
      </c>
      <c r="D1194" s="135">
        <f t="shared" si="18"/>
        <v>0.00818032415278247</v>
      </c>
    </row>
    <row r="1195" ht="14.25" customHeight="1" spans="2:4">
      <c r="B1195" s="137">
        <v>44474</v>
      </c>
      <c r="C1195" s="132">
        <v>17822.3</v>
      </c>
      <c r="D1195" s="135">
        <f t="shared" si="18"/>
        <v>-0.00989210146838504</v>
      </c>
    </row>
    <row r="1196" ht="14.25" customHeight="1" spans="2:4">
      <c r="B1196" s="137">
        <v>44473</v>
      </c>
      <c r="C1196" s="132">
        <v>17691.25</v>
      </c>
      <c r="D1196" s="135">
        <f t="shared" si="18"/>
        <v>0.00740761675969748</v>
      </c>
    </row>
    <row r="1197" ht="14.25" customHeight="1" spans="2:4">
      <c r="B1197" s="137">
        <v>44470</v>
      </c>
      <c r="C1197" s="132">
        <v>17532.05</v>
      </c>
      <c r="D1197" s="135">
        <f t="shared" si="18"/>
        <v>0.00908051254702102</v>
      </c>
    </row>
    <row r="1198" ht="14.25" customHeight="1" spans="2:4">
      <c r="B1198" s="137">
        <v>44469</v>
      </c>
      <c r="C1198" s="132">
        <v>17618.15</v>
      </c>
      <c r="D1198" s="135">
        <f t="shared" si="18"/>
        <v>-0.00488700572988665</v>
      </c>
    </row>
    <row r="1199" ht="14.25" customHeight="1" spans="2:4">
      <c r="B1199" s="137">
        <v>44468</v>
      </c>
      <c r="C1199" s="132">
        <v>17711.3</v>
      </c>
      <c r="D1199" s="135">
        <f t="shared" si="18"/>
        <v>-0.00525935419760248</v>
      </c>
    </row>
    <row r="1200" ht="14.25" customHeight="1" spans="2:4">
      <c r="B1200" s="137">
        <v>44467</v>
      </c>
      <c r="C1200" s="132">
        <v>17748.6</v>
      </c>
      <c r="D1200" s="135">
        <f t="shared" si="18"/>
        <v>-0.00210157420866997</v>
      </c>
    </row>
    <row r="1201" ht="14.25" customHeight="1" spans="2:4">
      <c r="B1201" s="137">
        <v>44466</v>
      </c>
      <c r="C1201" s="132">
        <v>17855.1</v>
      </c>
      <c r="D1201" s="135">
        <f t="shared" si="18"/>
        <v>-0.00596468235966197</v>
      </c>
    </row>
    <row r="1202" ht="14.25" customHeight="1" spans="2:4">
      <c r="B1202" s="137">
        <v>44463</v>
      </c>
      <c r="C1202" s="132">
        <v>17853.2</v>
      </c>
      <c r="D1202" s="135">
        <f t="shared" si="18"/>
        <v>0.000106423498308361</v>
      </c>
    </row>
    <row r="1203" ht="14.25" customHeight="1" spans="2:4">
      <c r="B1203" s="137">
        <v>44462</v>
      </c>
      <c r="C1203" s="132">
        <v>17822.95</v>
      </c>
      <c r="D1203" s="135">
        <f t="shared" si="18"/>
        <v>0.00169724989409725</v>
      </c>
    </row>
    <row r="1204" ht="14.25" customHeight="1" spans="2:4">
      <c r="B1204" s="137">
        <v>44461</v>
      </c>
      <c r="C1204" s="132">
        <v>17546.65</v>
      </c>
      <c r="D1204" s="135">
        <f t="shared" si="18"/>
        <v>0.0157465955039851</v>
      </c>
    </row>
    <row r="1205" ht="14.25" customHeight="1" spans="2:4">
      <c r="B1205" s="137">
        <v>44460</v>
      </c>
      <c r="C1205" s="132">
        <v>17562</v>
      </c>
      <c r="D1205" s="135">
        <f t="shared" si="18"/>
        <v>-0.000874046236191695</v>
      </c>
    </row>
    <row r="1206" ht="14.25" customHeight="1" spans="2:4">
      <c r="B1206" s="137">
        <v>44459</v>
      </c>
      <c r="C1206" s="132">
        <v>17396.9</v>
      </c>
      <c r="D1206" s="135">
        <f t="shared" si="18"/>
        <v>0.00949019652926664</v>
      </c>
    </row>
    <row r="1207" ht="14.25" customHeight="1" spans="2:4">
      <c r="B1207" s="137">
        <v>44456</v>
      </c>
      <c r="C1207" s="132">
        <v>17585.15</v>
      </c>
      <c r="D1207" s="135">
        <f t="shared" si="18"/>
        <v>-0.0107050551175282</v>
      </c>
    </row>
    <row r="1208" ht="14.25" customHeight="1" spans="2:4">
      <c r="B1208" s="137">
        <v>44455</v>
      </c>
      <c r="C1208" s="132">
        <v>17629.5</v>
      </c>
      <c r="D1208" s="135">
        <f t="shared" si="18"/>
        <v>-0.00251566975807582</v>
      </c>
    </row>
    <row r="1209" ht="14.25" customHeight="1" spans="2:4">
      <c r="B1209" s="137">
        <v>44454</v>
      </c>
      <c r="C1209" s="132">
        <v>17519.45</v>
      </c>
      <c r="D1209" s="135">
        <f t="shared" si="18"/>
        <v>0.00628158989009364</v>
      </c>
    </row>
    <row r="1210" ht="14.25" customHeight="1" spans="2:4">
      <c r="B1210" s="137">
        <v>44453</v>
      </c>
      <c r="C1210" s="132">
        <v>17380</v>
      </c>
      <c r="D1210" s="135">
        <f t="shared" si="18"/>
        <v>0.00802359033371691</v>
      </c>
    </row>
    <row r="1211" ht="14.25" customHeight="1" spans="2:4">
      <c r="B1211" s="137">
        <v>44452</v>
      </c>
      <c r="C1211" s="132">
        <v>17355.3</v>
      </c>
      <c r="D1211" s="135">
        <f t="shared" si="18"/>
        <v>0.00142319637228971</v>
      </c>
    </row>
    <row r="1212" ht="14.25" customHeight="1" spans="2:4">
      <c r="B1212" s="137">
        <v>44448</v>
      </c>
      <c r="C1212" s="132">
        <v>17369.25</v>
      </c>
      <c r="D1212" s="135">
        <f t="shared" si="18"/>
        <v>-0.000803143486333702</v>
      </c>
    </row>
    <row r="1213" ht="14.25" customHeight="1" spans="2:4">
      <c r="B1213" s="137">
        <v>44447</v>
      </c>
      <c r="C1213" s="132">
        <v>17353.5</v>
      </c>
      <c r="D1213" s="135">
        <f t="shared" si="18"/>
        <v>0.000907597890915435</v>
      </c>
    </row>
    <row r="1214" ht="14.25" customHeight="1" spans="2:4">
      <c r="B1214" s="137">
        <v>44446</v>
      </c>
      <c r="C1214" s="132">
        <v>17362.1</v>
      </c>
      <c r="D1214" s="135">
        <f t="shared" si="18"/>
        <v>-0.000495331785901443</v>
      </c>
    </row>
    <row r="1215" ht="14.25" customHeight="1" spans="2:4">
      <c r="B1215" s="137">
        <v>44445</v>
      </c>
      <c r="C1215" s="132">
        <v>17377.8</v>
      </c>
      <c r="D1215" s="135">
        <f t="shared" si="18"/>
        <v>-0.000903451530113175</v>
      </c>
    </row>
    <row r="1216" ht="14.25" customHeight="1" spans="2:4">
      <c r="B1216" s="137">
        <v>44442</v>
      </c>
      <c r="C1216" s="132">
        <v>17323.6</v>
      </c>
      <c r="D1216" s="135">
        <f t="shared" si="18"/>
        <v>0.00312867995104948</v>
      </c>
    </row>
    <row r="1217" ht="14.25" customHeight="1" spans="2:4">
      <c r="B1217" s="137">
        <v>44441</v>
      </c>
      <c r="C1217" s="132">
        <v>17234.15</v>
      </c>
      <c r="D1217" s="135">
        <f t="shared" si="18"/>
        <v>0.0051902762828453</v>
      </c>
    </row>
    <row r="1218" ht="14.25" customHeight="1" spans="2:4">
      <c r="B1218" s="137">
        <v>44440</v>
      </c>
      <c r="C1218" s="132">
        <v>17076.25</v>
      </c>
      <c r="D1218" s="135">
        <f t="shared" si="18"/>
        <v>0.00924676085206078</v>
      </c>
    </row>
    <row r="1219" ht="14.25" customHeight="1" spans="2:4">
      <c r="B1219" s="137">
        <v>44439</v>
      </c>
      <c r="C1219" s="132">
        <v>17132.2</v>
      </c>
      <c r="D1219" s="135">
        <f t="shared" si="18"/>
        <v>-0.00326578022670765</v>
      </c>
    </row>
    <row r="1220" ht="14.25" customHeight="1" spans="2:4">
      <c r="B1220" s="137">
        <v>44438</v>
      </c>
      <c r="C1220" s="132">
        <v>16931.05</v>
      </c>
      <c r="D1220" s="135">
        <f t="shared" si="18"/>
        <v>0.0118805390096894</v>
      </c>
    </row>
    <row r="1221" ht="14.25" customHeight="1" spans="2:4">
      <c r="B1221" s="137">
        <v>44435</v>
      </c>
      <c r="C1221" s="132">
        <v>16705.2</v>
      </c>
      <c r="D1221" s="135">
        <f t="shared" si="18"/>
        <v>0.0135197423556737</v>
      </c>
    </row>
    <row r="1222" ht="14.25" customHeight="1" spans="2:4">
      <c r="B1222" s="137">
        <v>44434</v>
      </c>
      <c r="C1222" s="132">
        <v>16636.9</v>
      </c>
      <c r="D1222" s="135">
        <f t="shared" si="18"/>
        <v>0.00410533212317188</v>
      </c>
    </row>
    <row r="1223" ht="14.25" customHeight="1" spans="2:4">
      <c r="B1223" s="137">
        <v>44433</v>
      </c>
      <c r="C1223" s="132">
        <v>16634.65</v>
      </c>
      <c r="D1223" s="135">
        <f t="shared" si="18"/>
        <v>0.00013525983414131</v>
      </c>
    </row>
    <row r="1224" ht="14.25" customHeight="1" spans="2:4">
      <c r="B1224" s="137">
        <v>44432</v>
      </c>
      <c r="C1224" s="132">
        <v>16624.6</v>
      </c>
      <c r="D1224" s="135">
        <f t="shared" si="18"/>
        <v>0.000604525823177937</v>
      </c>
    </row>
    <row r="1225" ht="14.25" customHeight="1" spans="2:4">
      <c r="B1225" s="137">
        <v>44431</v>
      </c>
      <c r="C1225" s="132">
        <v>16496.45</v>
      </c>
      <c r="D1225" s="135">
        <f t="shared" ref="D1225:D1288" si="19">C1224/C1225-1</f>
        <v>0.00776833803636534</v>
      </c>
    </row>
    <row r="1226" ht="14.25" customHeight="1" spans="2:4">
      <c r="B1226" s="137">
        <v>44428</v>
      </c>
      <c r="C1226" s="132">
        <v>16450.5</v>
      </c>
      <c r="D1226" s="135">
        <f t="shared" si="19"/>
        <v>0.00279322816935657</v>
      </c>
    </row>
    <row r="1227" ht="14.25" customHeight="1" spans="2:4">
      <c r="B1227" s="137">
        <v>44426</v>
      </c>
      <c r="C1227" s="132">
        <v>16568.85</v>
      </c>
      <c r="D1227" s="135">
        <f t="shared" si="19"/>
        <v>-0.00714292180809162</v>
      </c>
    </row>
    <row r="1228" ht="14.25" customHeight="1" spans="2:4">
      <c r="B1228" s="137">
        <v>44425</v>
      </c>
      <c r="C1228" s="132">
        <v>16614.6</v>
      </c>
      <c r="D1228" s="135">
        <f t="shared" si="19"/>
        <v>-0.00275360225343979</v>
      </c>
    </row>
    <row r="1229" ht="14.25" customHeight="1" spans="2:4">
      <c r="B1229" s="137">
        <v>44424</v>
      </c>
      <c r="C1229" s="132">
        <v>16563.05</v>
      </c>
      <c r="D1229" s="135">
        <f t="shared" si="19"/>
        <v>0.00311234947669647</v>
      </c>
    </row>
    <row r="1230" ht="14.25" customHeight="1" spans="2:4">
      <c r="B1230" s="137">
        <v>44421</v>
      </c>
      <c r="C1230" s="132">
        <v>16529.1</v>
      </c>
      <c r="D1230" s="135">
        <f t="shared" si="19"/>
        <v>0.00205395333079239</v>
      </c>
    </row>
    <row r="1231" ht="14.25" customHeight="1" spans="2:4">
      <c r="B1231" s="137">
        <v>44420</v>
      </c>
      <c r="C1231" s="132">
        <v>16364.4</v>
      </c>
      <c r="D1231" s="135">
        <f t="shared" si="19"/>
        <v>0.0100645303219182</v>
      </c>
    </row>
    <row r="1232" ht="14.25" customHeight="1" spans="2:4">
      <c r="B1232" s="137">
        <v>44419</v>
      </c>
      <c r="C1232" s="132">
        <v>16282.25</v>
      </c>
      <c r="D1232" s="135">
        <f t="shared" si="19"/>
        <v>0.00504537149349749</v>
      </c>
    </row>
    <row r="1233" ht="14.25" customHeight="1" spans="2:4">
      <c r="B1233" s="137">
        <v>44418</v>
      </c>
      <c r="C1233" s="132">
        <v>16280.1</v>
      </c>
      <c r="D1233" s="135">
        <f t="shared" si="19"/>
        <v>0.000132063070865662</v>
      </c>
    </row>
    <row r="1234" ht="14.25" customHeight="1" spans="2:4">
      <c r="B1234" s="137">
        <v>44417</v>
      </c>
      <c r="C1234" s="132">
        <v>16258.25</v>
      </c>
      <c r="D1234" s="135">
        <f t="shared" si="19"/>
        <v>0.00134393308012859</v>
      </c>
    </row>
    <row r="1235" ht="14.25" customHeight="1" spans="2:4">
      <c r="B1235" s="137">
        <v>44414</v>
      </c>
      <c r="C1235" s="132">
        <v>16238.2</v>
      </c>
      <c r="D1235" s="135">
        <f t="shared" si="19"/>
        <v>0.00123474276705537</v>
      </c>
    </row>
    <row r="1236" ht="14.25" customHeight="1" spans="2:4">
      <c r="B1236" s="137">
        <v>44413</v>
      </c>
      <c r="C1236" s="132">
        <v>16294.6</v>
      </c>
      <c r="D1236" s="135">
        <f t="shared" si="19"/>
        <v>-0.00346126937758517</v>
      </c>
    </row>
    <row r="1237" ht="14.25" customHeight="1" spans="2:4">
      <c r="B1237" s="137">
        <v>44412</v>
      </c>
      <c r="C1237" s="132">
        <v>16258.8</v>
      </c>
      <c r="D1237" s="135">
        <f t="shared" si="19"/>
        <v>0.00220188451792258</v>
      </c>
    </row>
    <row r="1238" ht="14.25" customHeight="1" spans="2:4">
      <c r="B1238" s="137">
        <v>44411</v>
      </c>
      <c r="C1238" s="132">
        <v>16130.75</v>
      </c>
      <c r="D1238" s="135">
        <f t="shared" si="19"/>
        <v>0.0079382545758877</v>
      </c>
    </row>
    <row r="1239" ht="14.25" customHeight="1" spans="2:4">
      <c r="B1239" s="137">
        <v>44410</v>
      </c>
      <c r="C1239" s="132">
        <v>15885.15</v>
      </c>
      <c r="D1239" s="135">
        <f t="shared" si="19"/>
        <v>0.0154609808531867</v>
      </c>
    </row>
    <row r="1240" ht="14.25" customHeight="1" spans="2:4">
      <c r="B1240" s="137">
        <v>44407</v>
      </c>
      <c r="C1240" s="132">
        <v>15763.05</v>
      </c>
      <c r="D1240" s="135">
        <f t="shared" si="19"/>
        <v>0.00774596286886098</v>
      </c>
    </row>
    <row r="1241" ht="14.25" customHeight="1" spans="2:4">
      <c r="B1241" s="137">
        <v>44406</v>
      </c>
      <c r="C1241" s="132">
        <v>15778.45</v>
      </c>
      <c r="D1241" s="135">
        <f t="shared" si="19"/>
        <v>-0.000976014754301091</v>
      </c>
    </row>
    <row r="1242" ht="14.25" customHeight="1" spans="2:4">
      <c r="B1242" s="137">
        <v>44405</v>
      </c>
      <c r="C1242" s="132">
        <v>15709.4</v>
      </c>
      <c r="D1242" s="135">
        <f t="shared" si="19"/>
        <v>0.00439545749678549</v>
      </c>
    </row>
    <row r="1243" ht="14.25" customHeight="1" spans="2:4">
      <c r="B1243" s="137">
        <v>44404</v>
      </c>
      <c r="C1243" s="132">
        <v>15746.45</v>
      </c>
      <c r="D1243" s="135">
        <f t="shared" si="19"/>
        <v>-0.00235291129111648</v>
      </c>
    </row>
    <row r="1244" ht="14.25" customHeight="1" spans="2:4">
      <c r="B1244" s="137">
        <v>44403</v>
      </c>
      <c r="C1244" s="132">
        <v>15824.45</v>
      </c>
      <c r="D1244" s="135">
        <f t="shared" si="19"/>
        <v>-0.00492908126348779</v>
      </c>
    </row>
    <row r="1245" ht="14.25" customHeight="1" spans="2:4">
      <c r="B1245" s="137">
        <v>44400</v>
      </c>
      <c r="C1245" s="132">
        <v>15856.05</v>
      </c>
      <c r="D1245" s="135">
        <f t="shared" si="19"/>
        <v>-0.00199293014338364</v>
      </c>
    </row>
    <row r="1246" ht="14.25" customHeight="1" spans="2:4">
      <c r="B1246" s="137">
        <v>44399</v>
      </c>
      <c r="C1246" s="132">
        <v>15824.05</v>
      </c>
      <c r="D1246" s="135">
        <f t="shared" si="19"/>
        <v>0.00202223830182535</v>
      </c>
    </row>
    <row r="1247" ht="14.25" customHeight="1" spans="2:4">
      <c r="B1247" s="137">
        <v>44397</v>
      </c>
      <c r="C1247" s="132">
        <v>15632.1</v>
      </c>
      <c r="D1247" s="135">
        <f t="shared" si="19"/>
        <v>0.0122792203222855</v>
      </c>
    </row>
    <row r="1248" ht="14.25" customHeight="1" spans="2:4">
      <c r="B1248" s="137">
        <v>44396</v>
      </c>
      <c r="C1248" s="132">
        <v>15752.4</v>
      </c>
      <c r="D1248" s="135">
        <f t="shared" si="19"/>
        <v>-0.00763693151519762</v>
      </c>
    </row>
    <row r="1249" ht="14.25" customHeight="1" spans="2:4">
      <c r="B1249" s="137">
        <v>44393</v>
      </c>
      <c r="C1249" s="132">
        <v>15923.4</v>
      </c>
      <c r="D1249" s="135">
        <f t="shared" si="19"/>
        <v>-0.0107389125438034</v>
      </c>
    </row>
    <row r="1250" ht="14.25" customHeight="1" spans="2:4">
      <c r="B1250" s="137">
        <v>44392</v>
      </c>
      <c r="C1250" s="132">
        <v>15924.2</v>
      </c>
      <c r="D1250" s="135">
        <f t="shared" si="19"/>
        <v>-5.02380025371174e-5</v>
      </c>
    </row>
    <row r="1251" ht="14.25" customHeight="1" spans="2:4">
      <c r="B1251" s="137">
        <v>44391</v>
      </c>
      <c r="C1251" s="132">
        <v>15853.95</v>
      </c>
      <c r="D1251" s="135">
        <f t="shared" si="19"/>
        <v>0.00443107238259244</v>
      </c>
    </row>
    <row r="1252" ht="14.25" customHeight="1" spans="2:4">
      <c r="B1252" s="137">
        <v>44390</v>
      </c>
      <c r="C1252" s="132">
        <v>15812.35</v>
      </c>
      <c r="D1252" s="135">
        <f t="shared" si="19"/>
        <v>0.00263085499625304</v>
      </c>
    </row>
    <row r="1253" ht="14.25" customHeight="1" spans="2:4">
      <c r="B1253" s="137">
        <v>44389</v>
      </c>
      <c r="C1253" s="132">
        <v>15692.6</v>
      </c>
      <c r="D1253" s="135">
        <f t="shared" si="19"/>
        <v>0.0076309853051757</v>
      </c>
    </row>
    <row r="1254" ht="14.25" customHeight="1" spans="2:4">
      <c r="B1254" s="137">
        <v>44386</v>
      </c>
      <c r="C1254" s="132">
        <v>15689.8</v>
      </c>
      <c r="D1254" s="135">
        <f t="shared" si="19"/>
        <v>0.000178459891139626</v>
      </c>
    </row>
    <row r="1255" ht="14.25" customHeight="1" spans="2:4">
      <c r="B1255" s="137">
        <v>44385</v>
      </c>
      <c r="C1255" s="132">
        <v>15727.9</v>
      </c>
      <c r="D1255" s="135">
        <f t="shared" si="19"/>
        <v>-0.00242244673478342</v>
      </c>
    </row>
    <row r="1256" ht="14.25" customHeight="1" spans="2:4">
      <c r="B1256" s="137">
        <v>44384</v>
      </c>
      <c r="C1256" s="132">
        <v>15879.65</v>
      </c>
      <c r="D1256" s="135">
        <f t="shared" si="19"/>
        <v>-0.00955625596282039</v>
      </c>
    </row>
    <row r="1257" ht="14.25" customHeight="1" spans="2:4">
      <c r="B1257" s="137">
        <v>44383</v>
      </c>
      <c r="C1257" s="132">
        <v>15818.25</v>
      </c>
      <c r="D1257" s="135">
        <f t="shared" si="19"/>
        <v>0.00388159246440023</v>
      </c>
    </row>
    <row r="1258" ht="14.25" customHeight="1" spans="2:4">
      <c r="B1258" s="137">
        <v>44382</v>
      </c>
      <c r="C1258" s="132">
        <v>15834.35</v>
      </c>
      <c r="D1258" s="135">
        <f t="shared" si="19"/>
        <v>-0.00101677681748857</v>
      </c>
    </row>
    <row r="1259" ht="14.25" customHeight="1" spans="2:4">
      <c r="B1259" s="137">
        <v>44379</v>
      </c>
      <c r="C1259" s="132">
        <v>15722.2</v>
      </c>
      <c r="D1259" s="135">
        <f t="shared" si="19"/>
        <v>0.00713322563000096</v>
      </c>
    </row>
    <row r="1260" ht="14.25" customHeight="1" spans="2:4">
      <c r="B1260" s="137">
        <v>44378</v>
      </c>
      <c r="C1260" s="132">
        <v>15680</v>
      </c>
      <c r="D1260" s="135">
        <f t="shared" si="19"/>
        <v>0.00269132653061233</v>
      </c>
    </row>
    <row r="1261" ht="14.25" customHeight="1" spans="2:4">
      <c r="B1261" s="137">
        <v>44377</v>
      </c>
      <c r="C1261" s="132">
        <v>15721.5</v>
      </c>
      <c r="D1261" s="135">
        <f t="shared" si="19"/>
        <v>-0.00263969722990809</v>
      </c>
    </row>
    <row r="1262" ht="14.25" customHeight="1" spans="2:4">
      <c r="B1262" s="137">
        <v>44376</v>
      </c>
      <c r="C1262" s="132">
        <v>15748.45</v>
      </c>
      <c r="D1262" s="135">
        <f t="shared" si="19"/>
        <v>-0.00171127952274674</v>
      </c>
    </row>
    <row r="1263" ht="14.25" customHeight="1" spans="2:4">
      <c r="B1263" s="137">
        <v>44375</v>
      </c>
      <c r="C1263" s="132">
        <v>15814.7</v>
      </c>
      <c r="D1263" s="135">
        <f t="shared" si="19"/>
        <v>-0.00418914048322128</v>
      </c>
    </row>
    <row r="1264" ht="14.25" customHeight="1" spans="2:4">
      <c r="B1264" s="137">
        <v>44372</v>
      </c>
      <c r="C1264" s="132">
        <v>15860.35</v>
      </c>
      <c r="D1264" s="135">
        <f t="shared" si="19"/>
        <v>-0.0028782466969518</v>
      </c>
    </row>
    <row r="1265" ht="14.25" customHeight="1" spans="2:4">
      <c r="B1265" s="137">
        <v>44371</v>
      </c>
      <c r="C1265" s="132">
        <v>15790.45</v>
      </c>
      <c r="D1265" s="135">
        <f t="shared" si="19"/>
        <v>0.00442672628075824</v>
      </c>
    </row>
    <row r="1266" ht="14.25" customHeight="1" spans="2:4">
      <c r="B1266" s="137">
        <v>44370</v>
      </c>
      <c r="C1266" s="132">
        <v>15686.95</v>
      </c>
      <c r="D1266" s="135">
        <f t="shared" si="19"/>
        <v>0.00659784088047699</v>
      </c>
    </row>
    <row r="1267" ht="14.25" customHeight="1" spans="2:4">
      <c r="B1267" s="137">
        <v>44369</v>
      </c>
      <c r="C1267" s="132">
        <v>15772.75</v>
      </c>
      <c r="D1267" s="135">
        <f t="shared" si="19"/>
        <v>-0.00543976161417625</v>
      </c>
    </row>
    <row r="1268" ht="14.25" customHeight="1" spans="2:4">
      <c r="B1268" s="137">
        <v>44368</v>
      </c>
      <c r="C1268" s="132">
        <v>15746.5</v>
      </c>
      <c r="D1268" s="135">
        <f t="shared" si="19"/>
        <v>0.00166703711935989</v>
      </c>
    </row>
    <row r="1269" ht="14.25" customHeight="1" spans="2:4">
      <c r="B1269" s="137">
        <v>44365</v>
      </c>
      <c r="C1269" s="132">
        <v>15683.35</v>
      </c>
      <c r="D1269" s="135">
        <f t="shared" si="19"/>
        <v>0.00402656320237704</v>
      </c>
    </row>
    <row r="1270" ht="14.25" customHeight="1" spans="2:4">
      <c r="B1270" s="137">
        <v>44364</v>
      </c>
      <c r="C1270" s="132">
        <v>15691.4</v>
      </c>
      <c r="D1270" s="135">
        <f t="shared" si="19"/>
        <v>-0.000513019870757137</v>
      </c>
    </row>
    <row r="1271" ht="14.25" customHeight="1" spans="2:4">
      <c r="B1271" s="137">
        <v>44363</v>
      </c>
      <c r="C1271" s="132">
        <v>15767.55</v>
      </c>
      <c r="D1271" s="135">
        <f t="shared" si="19"/>
        <v>-0.00482953914844098</v>
      </c>
    </row>
    <row r="1272" ht="14.25" customHeight="1" spans="2:4">
      <c r="B1272" s="137">
        <v>44362</v>
      </c>
      <c r="C1272" s="132">
        <v>15869.25</v>
      </c>
      <c r="D1272" s="135">
        <f t="shared" si="19"/>
        <v>-0.00640862044520063</v>
      </c>
    </row>
    <row r="1273" ht="14.25" customHeight="1" spans="2:4">
      <c r="B1273" s="137">
        <v>44361</v>
      </c>
      <c r="C1273" s="132">
        <v>15811.85</v>
      </c>
      <c r="D1273" s="135">
        <f t="shared" si="19"/>
        <v>0.00363018875084187</v>
      </c>
    </row>
    <row r="1274" ht="14.25" customHeight="1" spans="2:4">
      <c r="B1274" s="137">
        <v>44358</v>
      </c>
      <c r="C1274" s="132">
        <v>15799.35</v>
      </c>
      <c r="D1274" s="135">
        <f t="shared" si="19"/>
        <v>0.000791171788712797</v>
      </c>
    </row>
    <row r="1275" ht="14.25" customHeight="1" spans="2:4">
      <c r="B1275" s="137">
        <v>44357</v>
      </c>
      <c r="C1275" s="132">
        <v>15737.75</v>
      </c>
      <c r="D1275" s="135">
        <f t="shared" si="19"/>
        <v>0.00391415545424212</v>
      </c>
    </row>
    <row r="1276" ht="14.25" customHeight="1" spans="2:4">
      <c r="B1276" s="137">
        <v>44356</v>
      </c>
      <c r="C1276" s="132">
        <v>15635.35</v>
      </c>
      <c r="D1276" s="135">
        <f t="shared" si="19"/>
        <v>0.00654926176900417</v>
      </c>
    </row>
    <row r="1277" ht="14.25" customHeight="1" spans="2:4">
      <c r="B1277" s="137">
        <v>44355</v>
      </c>
      <c r="C1277" s="132">
        <v>15740.1</v>
      </c>
      <c r="D1277" s="135">
        <f t="shared" si="19"/>
        <v>-0.0066549767790548</v>
      </c>
    </row>
    <row r="1278" ht="14.25" customHeight="1" spans="2:4">
      <c r="B1278" s="137">
        <v>44354</v>
      </c>
      <c r="C1278" s="132">
        <v>15751.65</v>
      </c>
      <c r="D1278" s="135">
        <f t="shared" si="19"/>
        <v>-0.000733256515983993</v>
      </c>
    </row>
    <row r="1279" ht="14.25" customHeight="1" spans="2:4">
      <c r="B1279" s="137">
        <v>44351</v>
      </c>
      <c r="C1279" s="132">
        <v>15670.25</v>
      </c>
      <c r="D1279" s="135">
        <f t="shared" si="19"/>
        <v>0.00519455656418999</v>
      </c>
    </row>
    <row r="1280" ht="14.25" customHeight="1" spans="2:4">
      <c r="B1280" s="137">
        <v>44350</v>
      </c>
      <c r="C1280" s="132">
        <v>15690.35</v>
      </c>
      <c r="D1280" s="135">
        <f t="shared" si="19"/>
        <v>-0.00128104216923142</v>
      </c>
    </row>
    <row r="1281" ht="14.25" customHeight="1" spans="2:4">
      <c r="B1281" s="137">
        <v>44349</v>
      </c>
      <c r="C1281" s="132">
        <v>15576.2</v>
      </c>
      <c r="D1281" s="135">
        <f t="shared" si="19"/>
        <v>0.00732848833476707</v>
      </c>
    </row>
    <row r="1282" ht="14.25" customHeight="1" spans="2:4">
      <c r="B1282" s="137">
        <v>44348</v>
      </c>
      <c r="C1282" s="132">
        <v>15574.85</v>
      </c>
      <c r="D1282" s="135">
        <f t="shared" si="19"/>
        <v>8.66782023583035e-5</v>
      </c>
    </row>
    <row r="1283" ht="14.25" customHeight="1" spans="2:4">
      <c r="B1283" s="137">
        <v>44347</v>
      </c>
      <c r="C1283" s="132">
        <v>15582.8</v>
      </c>
      <c r="D1283" s="135">
        <f t="shared" si="19"/>
        <v>-0.000510177888440988</v>
      </c>
    </row>
    <row r="1284" ht="14.25" customHeight="1" spans="2:4">
      <c r="B1284" s="137">
        <v>44344</v>
      </c>
      <c r="C1284" s="132">
        <v>15435.65</v>
      </c>
      <c r="D1284" s="135">
        <f t="shared" si="19"/>
        <v>0.00953312623699043</v>
      </c>
    </row>
    <row r="1285" ht="14.25" customHeight="1" spans="2:4">
      <c r="B1285" s="137">
        <v>44343</v>
      </c>
      <c r="C1285" s="132">
        <v>15337.85</v>
      </c>
      <c r="D1285" s="135">
        <f t="shared" si="19"/>
        <v>0.00637638260903572</v>
      </c>
    </row>
    <row r="1286" ht="14.25" customHeight="1" spans="2:4">
      <c r="B1286" s="137">
        <v>44342</v>
      </c>
      <c r="C1286" s="132">
        <v>15301.45</v>
      </c>
      <c r="D1286" s="135">
        <f t="shared" si="19"/>
        <v>0.00237885951984951</v>
      </c>
    </row>
    <row r="1287" ht="14.25" customHeight="1" spans="2:4">
      <c r="B1287" s="137">
        <v>44341</v>
      </c>
      <c r="C1287" s="132">
        <v>15208.45</v>
      </c>
      <c r="D1287" s="135">
        <f t="shared" si="19"/>
        <v>0.00611502158339605</v>
      </c>
    </row>
    <row r="1288" ht="14.25" customHeight="1" spans="2:4">
      <c r="B1288" s="137">
        <v>44340</v>
      </c>
      <c r="C1288" s="132">
        <v>15197.7</v>
      </c>
      <c r="D1288" s="135">
        <f t="shared" si="19"/>
        <v>0.000707343874402078</v>
      </c>
    </row>
    <row r="1289" ht="14.25" customHeight="1" spans="2:4">
      <c r="B1289" s="137">
        <v>44337</v>
      </c>
      <c r="C1289" s="132">
        <v>15175.3</v>
      </c>
      <c r="D1289" s="135">
        <f t="shared" ref="D1289:D1352" si="20">C1288/C1289-1</f>
        <v>0.00147608284514988</v>
      </c>
    </row>
    <row r="1290" ht="14.25" customHeight="1" spans="2:4">
      <c r="B1290" s="137">
        <v>44336</v>
      </c>
      <c r="C1290" s="132">
        <v>14906.05</v>
      </c>
      <c r="D1290" s="135">
        <f t="shared" si="20"/>
        <v>0.0180631354382952</v>
      </c>
    </row>
    <row r="1291" ht="14.25" customHeight="1" spans="2:4">
      <c r="B1291" s="137">
        <v>44335</v>
      </c>
      <c r="C1291" s="132">
        <v>15030.15</v>
      </c>
      <c r="D1291" s="135">
        <f t="shared" si="20"/>
        <v>-0.00825673729137766</v>
      </c>
    </row>
    <row r="1292" ht="14.25" customHeight="1" spans="2:4">
      <c r="B1292" s="137">
        <v>44334</v>
      </c>
      <c r="C1292" s="132">
        <v>15108.1</v>
      </c>
      <c r="D1292" s="135">
        <f t="shared" si="20"/>
        <v>-0.00515948398541188</v>
      </c>
    </row>
    <row r="1293" ht="14.25" customHeight="1" spans="2:4">
      <c r="B1293" s="137">
        <v>44333</v>
      </c>
      <c r="C1293" s="132">
        <v>14923.15</v>
      </c>
      <c r="D1293" s="135">
        <f t="shared" si="20"/>
        <v>0.0123934960112309</v>
      </c>
    </row>
    <row r="1294" ht="14.25" customHeight="1" spans="2:4">
      <c r="B1294" s="137">
        <v>44330</v>
      </c>
      <c r="C1294" s="132">
        <v>14677.8</v>
      </c>
      <c r="D1294" s="135">
        <f t="shared" si="20"/>
        <v>0.0167157203395605</v>
      </c>
    </row>
    <row r="1295" ht="14.25" customHeight="1" spans="2:4">
      <c r="B1295" s="137">
        <v>44328</v>
      </c>
      <c r="C1295" s="132">
        <v>14696.5</v>
      </c>
      <c r="D1295" s="135">
        <f t="shared" si="20"/>
        <v>-0.00127241179872761</v>
      </c>
    </row>
    <row r="1296" ht="14.25" customHeight="1" spans="2:4">
      <c r="B1296" s="137">
        <v>44327</v>
      </c>
      <c r="C1296" s="132">
        <v>14850.75</v>
      </c>
      <c r="D1296" s="135">
        <f t="shared" si="20"/>
        <v>-0.0103866808073666</v>
      </c>
    </row>
    <row r="1297" ht="14.25" customHeight="1" spans="2:4">
      <c r="B1297" s="137">
        <v>44326</v>
      </c>
      <c r="C1297" s="132">
        <v>14942.35</v>
      </c>
      <c r="D1297" s="135">
        <f t="shared" si="20"/>
        <v>-0.00613022717310197</v>
      </c>
    </row>
    <row r="1298" ht="14.25" customHeight="1" spans="2:4">
      <c r="B1298" s="137">
        <v>44323</v>
      </c>
      <c r="C1298" s="132">
        <v>14823.15</v>
      </c>
      <c r="D1298" s="135">
        <f t="shared" si="20"/>
        <v>0.00804147566475422</v>
      </c>
    </row>
    <row r="1299" ht="14.25" customHeight="1" spans="2:4">
      <c r="B1299" s="137">
        <v>44322</v>
      </c>
      <c r="C1299" s="132">
        <v>14724.8</v>
      </c>
      <c r="D1299" s="135">
        <f t="shared" si="20"/>
        <v>0.00667920786699994</v>
      </c>
    </row>
    <row r="1300" ht="14.25" customHeight="1" spans="2:4">
      <c r="B1300" s="137">
        <v>44321</v>
      </c>
      <c r="C1300" s="132">
        <v>14617.85</v>
      </c>
      <c r="D1300" s="135">
        <f t="shared" si="20"/>
        <v>0.00731639741822487</v>
      </c>
    </row>
    <row r="1301" ht="14.25" customHeight="1" spans="2:4">
      <c r="B1301" s="137">
        <v>44320</v>
      </c>
      <c r="C1301" s="132">
        <v>14496.5</v>
      </c>
      <c r="D1301" s="135">
        <f t="shared" si="20"/>
        <v>0.00837098610009313</v>
      </c>
    </row>
    <row r="1302" ht="14.25" customHeight="1" spans="2:4">
      <c r="B1302" s="137">
        <v>44319</v>
      </c>
      <c r="C1302" s="132">
        <v>14634.15</v>
      </c>
      <c r="D1302" s="135">
        <f t="shared" si="20"/>
        <v>-0.00940608098181306</v>
      </c>
    </row>
    <row r="1303" ht="14.25" customHeight="1" spans="2:4">
      <c r="B1303" s="137">
        <v>44316</v>
      </c>
      <c r="C1303" s="132">
        <v>14631.1</v>
      </c>
      <c r="D1303" s="135">
        <f t="shared" si="20"/>
        <v>0.000208460061102755</v>
      </c>
    </row>
    <row r="1304" ht="14.25" customHeight="1" spans="2:4">
      <c r="B1304" s="137">
        <v>44315</v>
      </c>
      <c r="C1304" s="132">
        <v>14894.9</v>
      </c>
      <c r="D1304" s="135">
        <f t="shared" si="20"/>
        <v>-0.017710760058812</v>
      </c>
    </row>
    <row r="1305" ht="14.25" customHeight="1" spans="2:4">
      <c r="B1305" s="137">
        <v>44314</v>
      </c>
      <c r="C1305" s="132">
        <v>14864.55</v>
      </c>
      <c r="D1305" s="135">
        <f t="shared" si="20"/>
        <v>0.0020417705211393</v>
      </c>
    </row>
    <row r="1306" ht="14.25" customHeight="1" spans="2:4">
      <c r="B1306" s="137">
        <v>44313</v>
      </c>
      <c r="C1306" s="132">
        <v>14653.05</v>
      </c>
      <c r="D1306" s="135">
        <f t="shared" si="20"/>
        <v>0.0144338550677163</v>
      </c>
    </row>
    <row r="1307" ht="14.25" customHeight="1" spans="2:4">
      <c r="B1307" s="137">
        <v>44312</v>
      </c>
      <c r="C1307" s="132">
        <v>14485</v>
      </c>
      <c r="D1307" s="135">
        <f t="shared" si="20"/>
        <v>0.0116016568864341</v>
      </c>
    </row>
    <row r="1308" ht="14.25" customHeight="1" spans="2:4">
      <c r="B1308" s="137">
        <v>44309</v>
      </c>
      <c r="C1308" s="132">
        <v>14341.35</v>
      </c>
      <c r="D1308" s="135">
        <f t="shared" si="20"/>
        <v>0.0100164907766702</v>
      </c>
    </row>
    <row r="1309" ht="14.25" customHeight="1" spans="2:4">
      <c r="B1309" s="137">
        <v>44308</v>
      </c>
      <c r="C1309" s="132">
        <v>14406.15</v>
      </c>
      <c r="D1309" s="135">
        <f t="shared" si="20"/>
        <v>-0.00449807894545029</v>
      </c>
    </row>
    <row r="1310" ht="14.25" customHeight="1" spans="2:4">
      <c r="B1310" s="137">
        <v>44306</v>
      </c>
      <c r="C1310" s="132">
        <v>14296.4</v>
      </c>
      <c r="D1310" s="135">
        <f t="shared" si="20"/>
        <v>0.00767675778517662</v>
      </c>
    </row>
    <row r="1311" ht="14.25" customHeight="1" spans="2:4">
      <c r="B1311" s="137">
        <v>44305</v>
      </c>
      <c r="C1311" s="132">
        <v>14359.45</v>
      </c>
      <c r="D1311" s="135">
        <f t="shared" si="20"/>
        <v>-0.00439083669639162</v>
      </c>
    </row>
    <row r="1312" ht="14.25" customHeight="1" spans="2:4">
      <c r="B1312" s="137">
        <v>44302</v>
      </c>
      <c r="C1312" s="132">
        <v>14617.85</v>
      </c>
      <c r="D1312" s="135">
        <f t="shared" si="20"/>
        <v>-0.0176770181661462</v>
      </c>
    </row>
    <row r="1313" ht="14.25" customHeight="1" spans="2:4">
      <c r="B1313" s="137">
        <v>44301</v>
      </c>
      <c r="C1313" s="132">
        <v>14581.45</v>
      </c>
      <c r="D1313" s="135">
        <f t="shared" si="20"/>
        <v>0.00249632238220476</v>
      </c>
    </row>
    <row r="1314" ht="14.25" customHeight="1" spans="2:4">
      <c r="B1314" s="137">
        <v>44299</v>
      </c>
      <c r="C1314" s="132">
        <v>14504.8</v>
      </c>
      <c r="D1314" s="135">
        <f t="shared" si="20"/>
        <v>0.00528445755887708</v>
      </c>
    </row>
    <row r="1315" ht="14.25" customHeight="1" spans="2:4">
      <c r="B1315" s="137">
        <v>44298</v>
      </c>
      <c r="C1315" s="132">
        <v>14310.8</v>
      </c>
      <c r="D1315" s="135">
        <f t="shared" si="20"/>
        <v>0.0135561953210164</v>
      </c>
    </row>
    <row r="1316" ht="14.25" customHeight="1" spans="2:4">
      <c r="B1316" s="137">
        <v>44295</v>
      </c>
      <c r="C1316" s="132">
        <v>14834.85</v>
      </c>
      <c r="D1316" s="135">
        <f t="shared" si="20"/>
        <v>-0.0353256015396179</v>
      </c>
    </row>
    <row r="1317" ht="14.25" customHeight="1" spans="2:4">
      <c r="B1317" s="137">
        <v>44294</v>
      </c>
      <c r="C1317" s="132">
        <v>14873.8</v>
      </c>
      <c r="D1317" s="135">
        <f t="shared" si="20"/>
        <v>-0.0026186986513197</v>
      </c>
    </row>
    <row r="1318" ht="14.25" customHeight="1" spans="2:4">
      <c r="B1318" s="137">
        <v>44293</v>
      </c>
      <c r="C1318" s="132">
        <v>14819.05</v>
      </c>
      <c r="D1318" s="135">
        <f t="shared" si="20"/>
        <v>0.00369456881513996</v>
      </c>
    </row>
    <row r="1319" ht="14.25" customHeight="1" spans="2:4">
      <c r="B1319" s="137">
        <v>44292</v>
      </c>
      <c r="C1319" s="132">
        <v>14683.5</v>
      </c>
      <c r="D1319" s="135">
        <f t="shared" si="20"/>
        <v>0.00923145026730676</v>
      </c>
    </row>
    <row r="1320" ht="14.25" customHeight="1" spans="2:4">
      <c r="B1320" s="137">
        <v>44291</v>
      </c>
      <c r="C1320" s="132">
        <v>14637.8</v>
      </c>
      <c r="D1320" s="135">
        <f t="shared" si="20"/>
        <v>0.00312205386055298</v>
      </c>
    </row>
    <row r="1321" ht="14.25" customHeight="1" spans="2:4">
      <c r="B1321" s="137">
        <v>44287</v>
      </c>
      <c r="C1321" s="132">
        <v>14867.35</v>
      </c>
      <c r="D1321" s="135">
        <f t="shared" si="20"/>
        <v>-0.0154398732793672</v>
      </c>
    </row>
    <row r="1322" ht="14.25" customHeight="1" spans="2:4">
      <c r="B1322" s="137">
        <v>44286</v>
      </c>
      <c r="C1322" s="132">
        <v>14690.7</v>
      </c>
      <c r="D1322" s="135">
        <f t="shared" si="20"/>
        <v>0.0120246142117122</v>
      </c>
    </row>
    <row r="1323" ht="14.25" customHeight="1" spans="2:4">
      <c r="B1323" s="137">
        <v>44285</v>
      </c>
      <c r="C1323" s="132">
        <v>14845.1</v>
      </c>
      <c r="D1323" s="135">
        <f t="shared" si="20"/>
        <v>-0.0104007382907491</v>
      </c>
    </row>
    <row r="1324" ht="14.25" customHeight="1" spans="2:4">
      <c r="B1324" s="137">
        <v>44281</v>
      </c>
      <c r="C1324" s="132">
        <v>14507.3</v>
      </c>
      <c r="D1324" s="135">
        <f t="shared" si="20"/>
        <v>0.0232848290171157</v>
      </c>
    </row>
    <row r="1325" ht="14.25" customHeight="1" spans="2:4">
      <c r="B1325" s="137">
        <v>44280</v>
      </c>
      <c r="C1325" s="132">
        <v>14324.9</v>
      </c>
      <c r="D1325" s="135">
        <f t="shared" si="20"/>
        <v>0.0127330731802664</v>
      </c>
    </row>
    <row r="1326" ht="14.25" customHeight="1" spans="2:4">
      <c r="B1326" s="137">
        <v>44279</v>
      </c>
      <c r="C1326" s="132">
        <v>14549.4</v>
      </c>
      <c r="D1326" s="135">
        <f t="shared" si="20"/>
        <v>-0.0154301895610816</v>
      </c>
    </row>
    <row r="1327" ht="14.25" customHeight="1" spans="2:4">
      <c r="B1327" s="137">
        <v>44278</v>
      </c>
      <c r="C1327" s="132">
        <v>14814.75</v>
      </c>
      <c r="D1327" s="135">
        <f t="shared" si="20"/>
        <v>-0.0179112033615147</v>
      </c>
    </row>
    <row r="1328" ht="14.25" customHeight="1" spans="2:4">
      <c r="B1328" s="137">
        <v>44277</v>
      </c>
      <c r="C1328" s="132">
        <v>14736.4</v>
      </c>
      <c r="D1328" s="135">
        <f t="shared" si="20"/>
        <v>0.00531676664585645</v>
      </c>
    </row>
    <row r="1329" ht="14.25" customHeight="1" spans="2:4">
      <c r="B1329" s="137">
        <v>44274</v>
      </c>
      <c r="C1329" s="132">
        <v>14744</v>
      </c>
      <c r="D1329" s="135">
        <f t="shared" si="20"/>
        <v>-0.000515463917525771</v>
      </c>
    </row>
    <row r="1330" ht="14.25" customHeight="1" spans="2:4">
      <c r="B1330" s="137">
        <v>44273</v>
      </c>
      <c r="C1330" s="132">
        <v>14557.85</v>
      </c>
      <c r="D1330" s="135">
        <f t="shared" si="20"/>
        <v>0.0127869156503193</v>
      </c>
    </row>
    <row r="1331" ht="14.25" customHeight="1" spans="2:4">
      <c r="B1331" s="137">
        <v>44272</v>
      </c>
      <c r="C1331" s="132">
        <v>14721.3</v>
      </c>
      <c r="D1331" s="135">
        <f t="shared" si="20"/>
        <v>-0.0111029596570954</v>
      </c>
    </row>
    <row r="1332" ht="14.25" customHeight="1" spans="2:4">
      <c r="B1332" s="137">
        <v>44271</v>
      </c>
      <c r="C1332" s="132">
        <v>14910.45</v>
      </c>
      <c r="D1332" s="135">
        <f t="shared" si="20"/>
        <v>-0.012685733830971</v>
      </c>
    </row>
    <row r="1333" ht="14.25" customHeight="1" spans="2:4">
      <c r="B1333" s="137">
        <v>44270</v>
      </c>
      <c r="C1333" s="132">
        <v>14929.5</v>
      </c>
      <c r="D1333" s="135">
        <f t="shared" si="20"/>
        <v>-0.00127599718677784</v>
      </c>
    </row>
    <row r="1334" ht="14.25" customHeight="1" spans="2:4">
      <c r="B1334" s="137">
        <v>44267</v>
      </c>
      <c r="C1334" s="132">
        <v>15030.95</v>
      </c>
      <c r="D1334" s="135">
        <f t="shared" si="20"/>
        <v>-0.00674940705677296</v>
      </c>
    </row>
    <row r="1335" ht="14.25" customHeight="1" spans="2:4">
      <c r="B1335" s="137">
        <v>44265</v>
      </c>
      <c r="C1335" s="132">
        <v>15174.8</v>
      </c>
      <c r="D1335" s="135">
        <f t="shared" si="20"/>
        <v>-0.00947953185544448</v>
      </c>
    </row>
    <row r="1336" ht="14.25" customHeight="1" spans="2:4">
      <c r="B1336" s="137">
        <v>44264</v>
      </c>
      <c r="C1336" s="132">
        <v>15098.4</v>
      </c>
      <c r="D1336" s="135">
        <f t="shared" si="20"/>
        <v>0.00506013882265677</v>
      </c>
    </row>
    <row r="1337" ht="14.25" customHeight="1" spans="2:4">
      <c r="B1337" s="137">
        <v>44263</v>
      </c>
      <c r="C1337" s="132">
        <v>14956.2</v>
      </c>
      <c r="D1337" s="135">
        <f t="shared" si="20"/>
        <v>0.0095077626669875</v>
      </c>
    </row>
    <row r="1338" ht="14.25" customHeight="1" spans="2:4">
      <c r="B1338" s="137">
        <v>44260</v>
      </c>
      <c r="C1338" s="132">
        <v>14938.1</v>
      </c>
      <c r="D1338" s="135">
        <f t="shared" si="20"/>
        <v>0.0012116668117097</v>
      </c>
    </row>
    <row r="1339" ht="14.25" customHeight="1" spans="2:4">
      <c r="B1339" s="137">
        <v>44259</v>
      </c>
      <c r="C1339" s="132">
        <v>15080.75</v>
      </c>
      <c r="D1339" s="135">
        <f t="shared" si="20"/>
        <v>-0.00945907862672613</v>
      </c>
    </row>
    <row r="1340" ht="14.25" customHeight="1" spans="2:4">
      <c r="B1340" s="137">
        <v>44258</v>
      </c>
      <c r="C1340" s="132">
        <v>15245.6</v>
      </c>
      <c r="D1340" s="135">
        <f t="shared" si="20"/>
        <v>-0.0108129558692345</v>
      </c>
    </row>
    <row r="1341" ht="14.25" customHeight="1" spans="2:4">
      <c r="B1341" s="137">
        <v>44257</v>
      </c>
      <c r="C1341" s="132">
        <v>14919.1</v>
      </c>
      <c r="D1341" s="135">
        <f t="shared" si="20"/>
        <v>0.0218846981386276</v>
      </c>
    </row>
    <row r="1342" ht="14.25" customHeight="1" spans="2:4">
      <c r="B1342" s="137">
        <v>44256</v>
      </c>
      <c r="C1342" s="132">
        <v>14761.55</v>
      </c>
      <c r="D1342" s="135">
        <f t="shared" si="20"/>
        <v>0.0106729984317366</v>
      </c>
    </row>
    <row r="1343" ht="14.25" customHeight="1" spans="2:4">
      <c r="B1343" s="137">
        <v>44253</v>
      </c>
      <c r="C1343" s="132">
        <v>14529.15</v>
      </c>
      <c r="D1343" s="135">
        <f t="shared" si="20"/>
        <v>0.0159954298771778</v>
      </c>
    </row>
    <row r="1344" ht="14.25" customHeight="1" spans="2:4">
      <c r="B1344" s="137">
        <v>44252</v>
      </c>
      <c r="C1344" s="132">
        <v>15097.35</v>
      </c>
      <c r="D1344" s="135">
        <f t="shared" si="20"/>
        <v>-0.0376357440213018</v>
      </c>
    </row>
    <row r="1345" ht="14.25" customHeight="1" spans="2:4">
      <c r="B1345" s="137">
        <v>44251</v>
      </c>
      <c r="C1345" s="132">
        <v>14982</v>
      </c>
      <c r="D1345" s="135">
        <f t="shared" si="20"/>
        <v>0.0076992390869044</v>
      </c>
    </row>
    <row r="1346" ht="14.25" customHeight="1" spans="2:4">
      <c r="B1346" s="137">
        <v>44250</v>
      </c>
      <c r="C1346" s="132">
        <v>14707.8</v>
      </c>
      <c r="D1346" s="135">
        <f t="shared" si="20"/>
        <v>0.0186431689307716</v>
      </c>
    </row>
    <row r="1347" ht="14.25" customHeight="1" spans="2:4">
      <c r="B1347" s="137">
        <v>44249</v>
      </c>
      <c r="C1347" s="132">
        <v>14675.7</v>
      </c>
      <c r="D1347" s="135">
        <f t="shared" si="20"/>
        <v>0.00218728919233824</v>
      </c>
    </row>
    <row r="1348" ht="14.25" customHeight="1" spans="2:4">
      <c r="B1348" s="137">
        <v>44246</v>
      </c>
      <c r="C1348" s="132">
        <v>14981.75</v>
      </c>
      <c r="D1348" s="135">
        <f t="shared" si="20"/>
        <v>-0.020428187628281</v>
      </c>
    </row>
    <row r="1349" ht="14.25" customHeight="1" spans="2:4">
      <c r="B1349" s="137">
        <v>44245</v>
      </c>
      <c r="C1349" s="132">
        <v>15118.95</v>
      </c>
      <c r="D1349" s="135">
        <f t="shared" si="20"/>
        <v>-0.00907470426187007</v>
      </c>
    </row>
    <row r="1350" ht="14.25" customHeight="1" spans="2:4">
      <c r="B1350" s="137">
        <v>44244</v>
      </c>
      <c r="C1350" s="132">
        <v>15208.9</v>
      </c>
      <c r="D1350" s="135">
        <f t="shared" si="20"/>
        <v>-0.00591430017950012</v>
      </c>
    </row>
    <row r="1351" ht="14.25" customHeight="1" spans="2:4">
      <c r="B1351" s="137">
        <v>44243</v>
      </c>
      <c r="C1351" s="132">
        <v>15313.45</v>
      </c>
      <c r="D1351" s="135">
        <f t="shared" si="20"/>
        <v>-0.00682733152881954</v>
      </c>
    </row>
    <row r="1352" ht="14.25" customHeight="1" spans="2:4">
      <c r="B1352" s="137">
        <v>44242</v>
      </c>
      <c r="C1352" s="132">
        <v>15314.7</v>
      </c>
      <c r="D1352" s="135">
        <f t="shared" si="20"/>
        <v>-8.16209262995971e-5</v>
      </c>
    </row>
    <row r="1353" ht="14.25" customHeight="1" spans="2:4">
      <c r="B1353" s="137">
        <v>44239</v>
      </c>
      <c r="C1353" s="132">
        <v>15163.3</v>
      </c>
      <c r="D1353" s="135">
        <f t="shared" ref="D1353:D1416" si="21">C1352/C1353-1</f>
        <v>0.00998463395171245</v>
      </c>
    </row>
    <row r="1354" ht="14.25" customHeight="1" spans="2:4">
      <c r="B1354" s="137">
        <v>44238</v>
      </c>
      <c r="C1354" s="132">
        <v>15173.3</v>
      </c>
      <c r="D1354" s="135">
        <f t="shared" si="21"/>
        <v>-0.000659052414438532</v>
      </c>
    </row>
    <row r="1355" ht="14.25" customHeight="1" spans="2:4">
      <c r="B1355" s="137">
        <v>44237</v>
      </c>
      <c r="C1355" s="132">
        <v>15106.5</v>
      </c>
      <c r="D1355" s="135">
        <f t="shared" si="21"/>
        <v>0.00442193757653975</v>
      </c>
    </row>
    <row r="1356" ht="14.25" customHeight="1" spans="2:4">
      <c r="B1356" s="137">
        <v>44236</v>
      </c>
      <c r="C1356" s="132">
        <v>15109.3</v>
      </c>
      <c r="D1356" s="135">
        <f t="shared" si="21"/>
        <v>-0.000185316328354057</v>
      </c>
    </row>
    <row r="1357" ht="14.25" customHeight="1" spans="2:4">
      <c r="B1357" s="137">
        <v>44235</v>
      </c>
      <c r="C1357" s="132">
        <v>15115.8</v>
      </c>
      <c r="D1357" s="135">
        <f t="shared" si="21"/>
        <v>-0.000430013628124226</v>
      </c>
    </row>
    <row r="1358" ht="14.25" customHeight="1" spans="2:4">
      <c r="B1358" s="137">
        <v>44232</v>
      </c>
      <c r="C1358" s="132">
        <v>14924.25</v>
      </c>
      <c r="D1358" s="135">
        <f t="shared" si="21"/>
        <v>0.0128348158198903</v>
      </c>
    </row>
    <row r="1359" ht="14.25" customHeight="1" spans="2:4">
      <c r="B1359" s="137">
        <v>44231</v>
      </c>
      <c r="C1359" s="132">
        <v>14895.65</v>
      </c>
      <c r="D1359" s="135">
        <f t="shared" si="21"/>
        <v>0.00192002363106014</v>
      </c>
    </row>
    <row r="1360" ht="14.25" customHeight="1" spans="2:4">
      <c r="B1360" s="137">
        <v>44230</v>
      </c>
      <c r="C1360" s="132">
        <v>14789.95</v>
      </c>
      <c r="D1360" s="135">
        <f t="shared" si="21"/>
        <v>0.0071467449180016</v>
      </c>
    </row>
    <row r="1361" ht="14.25" customHeight="1" spans="2:4">
      <c r="B1361" s="137">
        <v>44229</v>
      </c>
      <c r="C1361" s="132">
        <v>14647.85</v>
      </c>
      <c r="D1361" s="135">
        <f t="shared" si="21"/>
        <v>0.00970108241141188</v>
      </c>
    </row>
    <row r="1362" ht="14.25" customHeight="1" spans="2:4">
      <c r="B1362" s="137">
        <v>44228</v>
      </c>
      <c r="C1362" s="132">
        <v>14281.2</v>
      </c>
      <c r="D1362" s="135">
        <f t="shared" si="21"/>
        <v>0.0256736128616644</v>
      </c>
    </row>
    <row r="1363" ht="14.25" customHeight="1" spans="2:4">
      <c r="B1363" s="137">
        <v>44225</v>
      </c>
      <c r="C1363" s="132">
        <v>13634.6</v>
      </c>
      <c r="D1363" s="135">
        <f t="shared" si="21"/>
        <v>0.0474234667683688</v>
      </c>
    </row>
    <row r="1364" ht="14.25" customHeight="1" spans="2:4">
      <c r="B1364" s="137">
        <v>44224</v>
      </c>
      <c r="C1364" s="132">
        <v>13817.55</v>
      </c>
      <c r="D1364" s="135">
        <f t="shared" si="21"/>
        <v>-0.0132404080318146</v>
      </c>
    </row>
    <row r="1365" ht="14.25" customHeight="1" spans="2:4">
      <c r="B1365" s="137">
        <v>44223</v>
      </c>
      <c r="C1365" s="132">
        <v>13967.5</v>
      </c>
      <c r="D1365" s="135">
        <f t="shared" si="21"/>
        <v>-0.0107356362985502</v>
      </c>
    </row>
    <row r="1366" ht="14.25" customHeight="1" spans="2:4">
      <c r="B1366" s="137">
        <v>44221</v>
      </c>
      <c r="C1366" s="132">
        <v>14238.9</v>
      </c>
      <c r="D1366" s="135">
        <f t="shared" si="21"/>
        <v>-0.0190604611311267</v>
      </c>
    </row>
    <row r="1367" ht="14.25" customHeight="1" spans="2:4">
      <c r="B1367" s="137">
        <v>44218</v>
      </c>
      <c r="C1367" s="132">
        <v>14371.9</v>
      </c>
      <c r="D1367" s="135">
        <f t="shared" si="21"/>
        <v>-0.00925416959483438</v>
      </c>
    </row>
    <row r="1368" ht="14.25" customHeight="1" spans="2:4">
      <c r="B1368" s="137">
        <v>44217</v>
      </c>
      <c r="C1368" s="132">
        <v>14590.35</v>
      </c>
      <c r="D1368" s="135">
        <f t="shared" si="21"/>
        <v>-0.0149722247924142</v>
      </c>
    </row>
    <row r="1369" ht="14.25" customHeight="1" spans="2:4">
      <c r="B1369" s="137">
        <v>44216</v>
      </c>
      <c r="C1369" s="132">
        <v>14644.7</v>
      </c>
      <c r="D1369" s="135">
        <f t="shared" si="21"/>
        <v>-0.00371124024391079</v>
      </c>
    </row>
    <row r="1370" ht="14.25" customHeight="1" spans="2:4">
      <c r="B1370" s="137">
        <v>44215</v>
      </c>
      <c r="C1370" s="132">
        <v>14521.15</v>
      </c>
      <c r="D1370" s="135">
        <f t="shared" si="21"/>
        <v>0.00850827930294784</v>
      </c>
    </row>
    <row r="1371" ht="14.25" customHeight="1" spans="2:4">
      <c r="B1371" s="137">
        <v>44214</v>
      </c>
      <c r="C1371" s="132">
        <v>14281.3</v>
      </c>
      <c r="D1371" s="135">
        <f t="shared" si="21"/>
        <v>0.0167946895590738</v>
      </c>
    </row>
    <row r="1372" ht="14.25" customHeight="1" spans="2:4">
      <c r="B1372" s="137">
        <v>44211</v>
      </c>
      <c r="C1372" s="132">
        <v>14433.7</v>
      </c>
      <c r="D1372" s="135">
        <f t="shared" si="21"/>
        <v>-0.0105586232220429</v>
      </c>
    </row>
    <row r="1373" ht="14.25" customHeight="1" spans="2:4">
      <c r="B1373" s="137">
        <v>44210</v>
      </c>
      <c r="C1373" s="132">
        <v>14595.6</v>
      </c>
      <c r="D1373" s="135">
        <f t="shared" si="21"/>
        <v>-0.0110923840061388</v>
      </c>
    </row>
    <row r="1374" ht="14.25" customHeight="1" spans="2:4">
      <c r="B1374" s="137">
        <v>44209</v>
      </c>
      <c r="C1374" s="132">
        <v>14564.85</v>
      </c>
      <c r="D1374" s="135">
        <f t="shared" si="21"/>
        <v>0.00211124728370016</v>
      </c>
    </row>
    <row r="1375" ht="14.25" customHeight="1" spans="2:4">
      <c r="B1375" s="137">
        <v>44208</v>
      </c>
      <c r="C1375" s="132">
        <v>14563.45</v>
      </c>
      <c r="D1375" s="135">
        <f t="shared" si="21"/>
        <v>9.61310678444516e-5</v>
      </c>
    </row>
    <row r="1376" ht="14.25" customHeight="1" spans="2:4">
      <c r="B1376" s="137">
        <v>44207</v>
      </c>
      <c r="C1376" s="132">
        <v>14484.75</v>
      </c>
      <c r="D1376" s="135">
        <f t="shared" si="21"/>
        <v>0.0054333005402234</v>
      </c>
    </row>
    <row r="1377" ht="14.25" customHeight="1" spans="2:4">
      <c r="B1377" s="137">
        <v>44204</v>
      </c>
      <c r="C1377" s="132">
        <v>14347.25</v>
      </c>
      <c r="D1377" s="135">
        <f t="shared" si="21"/>
        <v>0.00958371813413716</v>
      </c>
    </row>
    <row r="1378" ht="14.25" customHeight="1" spans="2:4">
      <c r="B1378" s="137">
        <v>44203</v>
      </c>
      <c r="C1378" s="132">
        <v>14137.35</v>
      </c>
      <c r="D1378" s="135">
        <f t="shared" si="21"/>
        <v>0.0148471955493781</v>
      </c>
    </row>
    <row r="1379" ht="14.25" customHeight="1" spans="2:4">
      <c r="B1379" s="137">
        <v>44202</v>
      </c>
      <c r="C1379" s="132">
        <v>14146.25</v>
      </c>
      <c r="D1379" s="135">
        <f t="shared" si="21"/>
        <v>-0.00062914199876285</v>
      </c>
    </row>
    <row r="1380" ht="14.25" customHeight="1" spans="2:4">
      <c r="B1380" s="137">
        <v>44201</v>
      </c>
      <c r="C1380" s="132">
        <v>14199.5</v>
      </c>
      <c r="D1380" s="135">
        <f t="shared" si="21"/>
        <v>-0.00375013204690311</v>
      </c>
    </row>
    <row r="1381" ht="14.25" customHeight="1" spans="2:4">
      <c r="B1381" s="137">
        <v>44200</v>
      </c>
      <c r="C1381" s="132">
        <v>14132.9</v>
      </c>
      <c r="D1381" s="135">
        <f t="shared" si="21"/>
        <v>0.00471240863517042</v>
      </c>
    </row>
    <row r="1382" ht="14.25" customHeight="1" spans="2:4">
      <c r="B1382" s="137">
        <v>44197</v>
      </c>
      <c r="C1382" s="132">
        <v>14018.5</v>
      </c>
      <c r="D1382" s="135">
        <f t="shared" si="21"/>
        <v>0.00816064486214652</v>
      </c>
    </row>
    <row r="1383" ht="14.25" customHeight="1" spans="2:4">
      <c r="B1383" s="137">
        <v>44196</v>
      </c>
      <c r="C1383" s="132">
        <v>13981.75</v>
      </c>
      <c r="D1383" s="135">
        <f t="shared" si="21"/>
        <v>0.00262842634148086</v>
      </c>
    </row>
    <row r="1384" ht="14.25" customHeight="1" spans="2:4">
      <c r="B1384" s="137">
        <v>44195</v>
      </c>
      <c r="C1384" s="132">
        <v>13981.95</v>
      </c>
      <c r="D1384" s="135">
        <f t="shared" si="21"/>
        <v>-1.43041564303337e-5</v>
      </c>
    </row>
    <row r="1385" ht="14.25" customHeight="1" spans="2:4">
      <c r="B1385" s="137">
        <v>44194</v>
      </c>
      <c r="C1385" s="132">
        <v>13932.6</v>
      </c>
      <c r="D1385" s="135">
        <f t="shared" si="21"/>
        <v>0.00354205245252137</v>
      </c>
    </row>
    <row r="1386" ht="14.25" customHeight="1" spans="2:4">
      <c r="B1386" s="137">
        <v>44193</v>
      </c>
      <c r="C1386" s="132">
        <v>13873.2</v>
      </c>
      <c r="D1386" s="135">
        <f t="shared" si="21"/>
        <v>0.00428163653663183</v>
      </c>
    </row>
    <row r="1387" ht="14.25" customHeight="1" spans="2:4">
      <c r="B1387" s="137">
        <v>44189</v>
      </c>
      <c r="C1387" s="132">
        <v>13749.25</v>
      </c>
      <c r="D1387" s="135">
        <f t="shared" si="21"/>
        <v>0.00901503718384644</v>
      </c>
    </row>
    <row r="1388" ht="14.25" customHeight="1" spans="2:4">
      <c r="B1388" s="137">
        <v>44188</v>
      </c>
      <c r="C1388" s="132">
        <v>13601.1</v>
      </c>
      <c r="D1388" s="135">
        <f t="shared" si="21"/>
        <v>0.0108925013418033</v>
      </c>
    </row>
    <row r="1389" ht="14.25" customHeight="1" spans="2:4">
      <c r="B1389" s="137">
        <v>44187</v>
      </c>
      <c r="C1389" s="132">
        <v>13466.3</v>
      </c>
      <c r="D1389" s="135">
        <f t="shared" si="21"/>
        <v>0.0100101735443292</v>
      </c>
    </row>
    <row r="1390" ht="14.25" customHeight="1" spans="2:4">
      <c r="B1390" s="137">
        <v>44186</v>
      </c>
      <c r="C1390" s="132">
        <v>13328.4</v>
      </c>
      <c r="D1390" s="135">
        <f t="shared" si="21"/>
        <v>0.0103463281414122</v>
      </c>
    </row>
    <row r="1391" ht="14.25" customHeight="1" spans="2:4">
      <c r="B1391" s="137">
        <v>44183</v>
      </c>
      <c r="C1391" s="132">
        <v>13760.55</v>
      </c>
      <c r="D1391" s="135">
        <f t="shared" si="21"/>
        <v>-0.0314049947131474</v>
      </c>
    </row>
    <row r="1392" ht="14.25" customHeight="1" spans="2:4">
      <c r="B1392" s="137">
        <v>44182</v>
      </c>
      <c r="C1392" s="132">
        <v>13740.7</v>
      </c>
      <c r="D1392" s="135">
        <f t="shared" si="21"/>
        <v>0.00144461344764091</v>
      </c>
    </row>
    <row r="1393" ht="14.25" customHeight="1" spans="2:4">
      <c r="B1393" s="137">
        <v>44181</v>
      </c>
      <c r="C1393" s="132">
        <v>13682.7</v>
      </c>
      <c r="D1393" s="135">
        <f t="shared" si="21"/>
        <v>0.00423892945105853</v>
      </c>
    </row>
    <row r="1394" ht="14.25" customHeight="1" spans="2:4">
      <c r="B1394" s="137">
        <v>44180</v>
      </c>
      <c r="C1394" s="132">
        <v>13567.85</v>
      </c>
      <c r="D1394" s="135">
        <f t="shared" si="21"/>
        <v>0.00846486362983079</v>
      </c>
    </row>
    <row r="1395" ht="14.25" customHeight="1" spans="2:4">
      <c r="B1395" s="137">
        <v>44179</v>
      </c>
      <c r="C1395" s="132">
        <v>13558.15</v>
      </c>
      <c r="D1395" s="135">
        <f t="shared" si="21"/>
        <v>0.000715436840571959</v>
      </c>
    </row>
    <row r="1396" ht="14.25" customHeight="1" spans="2:4">
      <c r="B1396" s="137">
        <v>44176</v>
      </c>
      <c r="C1396" s="132">
        <v>13513.85</v>
      </c>
      <c r="D1396" s="135">
        <f t="shared" si="21"/>
        <v>0.00327811837485248</v>
      </c>
    </row>
    <row r="1397" ht="14.25" customHeight="1" spans="2:4">
      <c r="B1397" s="137">
        <v>44175</v>
      </c>
      <c r="C1397" s="132">
        <v>13478.3</v>
      </c>
      <c r="D1397" s="135">
        <f t="shared" si="21"/>
        <v>0.00263757298769152</v>
      </c>
    </row>
    <row r="1398" ht="14.25" customHeight="1" spans="2:4">
      <c r="B1398" s="137">
        <v>44174</v>
      </c>
      <c r="C1398" s="132">
        <v>13529.1</v>
      </c>
      <c r="D1398" s="135">
        <f t="shared" si="21"/>
        <v>-0.00375486913394096</v>
      </c>
    </row>
    <row r="1399" ht="14.25" customHeight="1" spans="2:4">
      <c r="B1399" s="137">
        <v>44173</v>
      </c>
      <c r="C1399" s="132">
        <v>13392.95</v>
      </c>
      <c r="D1399" s="135">
        <f t="shared" si="21"/>
        <v>0.0101657961838131</v>
      </c>
    </row>
    <row r="1400" ht="14.25" customHeight="1" spans="2:4">
      <c r="B1400" s="137">
        <v>44172</v>
      </c>
      <c r="C1400" s="132">
        <v>13355.75</v>
      </c>
      <c r="D1400" s="135">
        <f t="shared" si="21"/>
        <v>0.00278531718548192</v>
      </c>
    </row>
    <row r="1401" ht="14.25" customHeight="1" spans="2:4">
      <c r="B1401" s="137">
        <v>44169</v>
      </c>
      <c r="C1401" s="132">
        <v>13258.55</v>
      </c>
      <c r="D1401" s="135">
        <f t="shared" si="21"/>
        <v>0.00733111841038436</v>
      </c>
    </row>
    <row r="1402" ht="14.25" customHeight="1" spans="2:4">
      <c r="B1402" s="137">
        <v>44168</v>
      </c>
      <c r="C1402" s="132">
        <v>13133.9</v>
      </c>
      <c r="D1402" s="135">
        <f t="shared" si="21"/>
        <v>0.00949070725374801</v>
      </c>
    </row>
    <row r="1403" ht="14.25" customHeight="1" spans="2:4">
      <c r="B1403" s="137">
        <v>44167</v>
      </c>
      <c r="C1403" s="132">
        <v>13113.75</v>
      </c>
      <c r="D1403" s="135">
        <f t="shared" si="21"/>
        <v>0.00153655514250306</v>
      </c>
    </row>
    <row r="1404" ht="14.25" customHeight="1" spans="2:4">
      <c r="B1404" s="137">
        <v>44166</v>
      </c>
      <c r="C1404" s="132">
        <v>13109.05</v>
      </c>
      <c r="D1404" s="135">
        <f t="shared" si="21"/>
        <v>0.000358530938550095</v>
      </c>
    </row>
    <row r="1405" ht="14.25" customHeight="1" spans="2:4">
      <c r="B1405" s="137">
        <v>44162</v>
      </c>
      <c r="C1405" s="132">
        <v>12968.95</v>
      </c>
      <c r="D1405" s="135">
        <f t="shared" si="21"/>
        <v>0.0108027249700244</v>
      </c>
    </row>
    <row r="1406" ht="14.25" customHeight="1" spans="2:4">
      <c r="B1406" s="137">
        <v>44161</v>
      </c>
      <c r="C1406" s="132">
        <v>12987</v>
      </c>
      <c r="D1406" s="135">
        <f t="shared" si="21"/>
        <v>-0.00138985138985137</v>
      </c>
    </row>
    <row r="1407" ht="14.25" customHeight="1" spans="2:4">
      <c r="B1407" s="137">
        <v>44160</v>
      </c>
      <c r="C1407" s="132">
        <v>12858.4</v>
      </c>
      <c r="D1407" s="135">
        <f t="shared" si="21"/>
        <v>0.0100012443227773</v>
      </c>
    </row>
    <row r="1408" ht="14.25" customHeight="1" spans="2:4">
      <c r="B1408" s="137">
        <v>44159</v>
      </c>
      <c r="C1408" s="132">
        <v>13055.15</v>
      </c>
      <c r="D1408" s="135">
        <f t="shared" si="21"/>
        <v>-0.0150706809190243</v>
      </c>
    </row>
    <row r="1409" ht="14.25" customHeight="1" spans="2:4">
      <c r="B1409" s="137">
        <v>44158</v>
      </c>
      <c r="C1409" s="132">
        <v>12926.45</v>
      </c>
      <c r="D1409" s="135">
        <f t="shared" si="21"/>
        <v>0.00995632985080963</v>
      </c>
    </row>
    <row r="1410" ht="14.25" customHeight="1" spans="2:4">
      <c r="B1410" s="137">
        <v>44155</v>
      </c>
      <c r="C1410" s="132">
        <v>12859.05</v>
      </c>
      <c r="D1410" s="135">
        <f t="shared" si="21"/>
        <v>0.00524144474125232</v>
      </c>
    </row>
    <row r="1411" ht="14.25" customHeight="1" spans="2:4">
      <c r="B1411" s="137">
        <v>44154</v>
      </c>
      <c r="C1411" s="132">
        <v>12771.7</v>
      </c>
      <c r="D1411" s="135">
        <f t="shared" si="21"/>
        <v>0.00683934010351006</v>
      </c>
    </row>
    <row r="1412" ht="14.25" customHeight="1" spans="2:4">
      <c r="B1412" s="137">
        <v>44153</v>
      </c>
      <c r="C1412" s="132">
        <v>12938.25</v>
      </c>
      <c r="D1412" s="135">
        <f t="shared" si="21"/>
        <v>-0.012872683709157</v>
      </c>
    </row>
    <row r="1413" ht="14.25" customHeight="1" spans="2:4">
      <c r="B1413" s="137">
        <v>44152</v>
      </c>
      <c r="C1413" s="132">
        <v>12874.2</v>
      </c>
      <c r="D1413" s="135">
        <f t="shared" si="21"/>
        <v>0.00497506641189349</v>
      </c>
    </row>
    <row r="1414" ht="14.25" customHeight="1" spans="2:4">
      <c r="B1414" s="137">
        <v>44149</v>
      </c>
      <c r="C1414" s="132">
        <v>12780.25</v>
      </c>
      <c r="D1414" s="135">
        <f t="shared" si="21"/>
        <v>0.00735118640089216</v>
      </c>
    </row>
    <row r="1415" ht="14.25" customHeight="1" spans="2:4">
      <c r="B1415" s="137">
        <v>44148</v>
      </c>
      <c r="C1415" s="132">
        <v>12719.95</v>
      </c>
      <c r="D1415" s="135">
        <f t="shared" si="21"/>
        <v>0.00474058467210958</v>
      </c>
    </row>
    <row r="1416" ht="14.25" customHeight="1" spans="2:4">
      <c r="B1416" s="137">
        <v>44147</v>
      </c>
      <c r="C1416" s="132">
        <v>12690.8</v>
      </c>
      <c r="D1416" s="135">
        <f t="shared" si="21"/>
        <v>0.00229693951523946</v>
      </c>
    </row>
    <row r="1417" ht="14.25" customHeight="1" spans="2:4">
      <c r="B1417" s="137">
        <v>44146</v>
      </c>
      <c r="C1417" s="132">
        <v>12749.15</v>
      </c>
      <c r="D1417" s="135">
        <f t="shared" ref="D1417:D1480" si="22">C1416/C1417-1</f>
        <v>-0.00457677570661574</v>
      </c>
    </row>
    <row r="1418" ht="14.25" customHeight="1" spans="2:4">
      <c r="B1418" s="137">
        <v>44145</v>
      </c>
      <c r="C1418" s="132">
        <v>12631.1</v>
      </c>
      <c r="D1418" s="135">
        <f t="shared" si="22"/>
        <v>0.00934597936838433</v>
      </c>
    </row>
    <row r="1419" ht="14.25" customHeight="1" spans="2:4">
      <c r="B1419" s="137">
        <v>44144</v>
      </c>
      <c r="C1419" s="132">
        <v>12461.05</v>
      </c>
      <c r="D1419" s="135">
        <f t="shared" si="22"/>
        <v>0.0136465225643105</v>
      </c>
    </row>
    <row r="1420" ht="14.25" customHeight="1" spans="2:4">
      <c r="B1420" s="137">
        <v>44141</v>
      </c>
      <c r="C1420" s="132">
        <v>12263.55</v>
      </c>
      <c r="D1420" s="135">
        <f t="shared" si="22"/>
        <v>0.0161046352809748</v>
      </c>
    </row>
    <row r="1421" ht="14.25" customHeight="1" spans="2:4">
      <c r="B1421" s="137">
        <v>44140</v>
      </c>
      <c r="C1421" s="132">
        <v>12120.3</v>
      </c>
      <c r="D1421" s="135">
        <f t="shared" si="22"/>
        <v>0.0118190143808321</v>
      </c>
    </row>
    <row r="1422" ht="14.25" customHeight="1" spans="2:4">
      <c r="B1422" s="137">
        <v>44139</v>
      </c>
      <c r="C1422" s="132">
        <v>11908.5</v>
      </c>
      <c r="D1422" s="135">
        <f t="shared" si="22"/>
        <v>0.0177856153167906</v>
      </c>
    </row>
    <row r="1423" ht="14.25" customHeight="1" spans="2:4">
      <c r="B1423" s="137">
        <v>44138</v>
      </c>
      <c r="C1423" s="132">
        <v>11813.5</v>
      </c>
      <c r="D1423" s="135">
        <f t="shared" si="22"/>
        <v>0.00804164726795609</v>
      </c>
    </row>
    <row r="1424" ht="14.25" customHeight="1" spans="2:4">
      <c r="B1424" s="137">
        <v>44137</v>
      </c>
      <c r="C1424" s="132">
        <v>11669.15</v>
      </c>
      <c r="D1424" s="135">
        <f t="shared" si="22"/>
        <v>0.0123702240523089</v>
      </c>
    </row>
    <row r="1425" ht="14.25" customHeight="1" spans="2:4">
      <c r="B1425" s="137">
        <v>44134</v>
      </c>
      <c r="C1425" s="132">
        <v>11642.4</v>
      </c>
      <c r="D1425" s="135">
        <f t="shared" si="22"/>
        <v>0.00229763622620771</v>
      </c>
    </row>
    <row r="1426" ht="14.25" customHeight="1" spans="2:4">
      <c r="B1426" s="137">
        <v>44133</v>
      </c>
      <c r="C1426" s="132">
        <v>11670.8</v>
      </c>
      <c r="D1426" s="135">
        <f t="shared" si="22"/>
        <v>-0.00243342358707199</v>
      </c>
    </row>
    <row r="1427" ht="14.25" customHeight="1" spans="2:4">
      <c r="B1427" s="137">
        <v>44132</v>
      </c>
      <c r="C1427" s="132">
        <v>11729.6</v>
      </c>
      <c r="D1427" s="135">
        <f t="shared" si="22"/>
        <v>-0.00501295866866736</v>
      </c>
    </row>
    <row r="1428" ht="14.25" customHeight="1" spans="2:4">
      <c r="B1428" s="137">
        <v>44131</v>
      </c>
      <c r="C1428" s="132">
        <v>11889.4</v>
      </c>
      <c r="D1428" s="135">
        <f t="shared" si="22"/>
        <v>-0.0134405436775614</v>
      </c>
    </row>
    <row r="1429" ht="14.25" customHeight="1" spans="2:4">
      <c r="B1429" s="137">
        <v>44130</v>
      </c>
      <c r="C1429" s="132">
        <v>11767.75</v>
      </c>
      <c r="D1429" s="135">
        <f t="shared" si="22"/>
        <v>0.0103375751524293</v>
      </c>
    </row>
    <row r="1430" ht="14.25" customHeight="1" spans="2:4">
      <c r="B1430" s="137">
        <v>44127</v>
      </c>
      <c r="C1430" s="132">
        <v>11930.35</v>
      </c>
      <c r="D1430" s="135">
        <f t="shared" si="22"/>
        <v>-0.0136291056004225</v>
      </c>
    </row>
    <row r="1431" ht="14.25" customHeight="1" spans="2:4">
      <c r="B1431" s="137">
        <v>44126</v>
      </c>
      <c r="C1431" s="132">
        <v>11896.45</v>
      </c>
      <c r="D1431" s="135">
        <f t="shared" si="22"/>
        <v>0.00284958958344705</v>
      </c>
    </row>
    <row r="1432" ht="14.25" customHeight="1" spans="2:4">
      <c r="B1432" s="137">
        <v>44125</v>
      </c>
      <c r="C1432" s="132">
        <v>11937.65</v>
      </c>
      <c r="D1432" s="135">
        <f t="shared" si="22"/>
        <v>-0.00345126553383612</v>
      </c>
    </row>
    <row r="1433" ht="14.25" customHeight="1" spans="2:4">
      <c r="B1433" s="137">
        <v>44124</v>
      </c>
      <c r="C1433" s="132">
        <v>11896.8</v>
      </c>
      <c r="D1433" s="135">
        <f t="shared" si="22"/>
        <v>0.00343369645618985</v>
      </c>
    </row>
    <row r="1434" ht="14.25" customHeight="1" spans="2:4">
      <c r="B1434" s="137">
        <v>44123</v>
      </c>
      <c r="C1434" s="132">
        <v>11873.05</v>
      </c>
      <c r="D1434" s="135">
        <f t="shared" si="22"/>
        <v>0.00200032847499165</v>
      </c>
    </row>
    <row r="1435" ht="14.25" customHeight="1" spans="2:4">
      <c r="B1435" s="137">
        <v>44120</v>
      </c>
      <c r="C1435" s="132">
        <v>11762.45</v>
      </c>
      <c r="D1435" s="135">
        <f t="shared" si="22"/>
        <v>0.00940280298747265</v>
      </c>
    </row>
    <row r="1436" ht="14.25" customHeight="1" spans="2:4">
      <c r="B1436" s="137">
        <v>44119</v>
      </c>
      <c r="C1436" s="132">
        <v>11680.35</v>
      </c>
      <c r="D1436" s="135">
        <f t="shared" si="22"/>
        <v>0.00702889896278802</v>
      </c>
    </row>
    <row r="1437" ht="14.25" customHeight="1" spans="2:4">
      <c r="B1437" s="137">
        <v>44118</v>
      </c>
      <c r="C1437" s="132">
        <v>11971.05</v>
      </c>
      <c r="D1437" s="135">
        <f t="shared" si="22"/>
        <v>-0.0242835841467539</v>
      </c>
    </row>
    <row r="1438" ht="14.25" customHeight="1" spans="2:4">
      <c r="B1438" s="137">
        <v>44117</v>
      </c>
      <c r="C1438" s="132">
        <v>11934.5</v>
      </c>
      <c r="D1438" s="135">
        <f t="shared" si="22"/>
        <v>0.00306254975072262</v>
      </c>
    </row>
    <row r="1439" ht="14.25" customHeight="1" spans="2:4">
      <c r="B1439" s="137">
        <v>44116</v>
      </c>
      <c r="C1439" s="132">
        <v>11930.95</v>
      </c>
      <c r="D1439" s="135">
        <f t="shared" si="22"/>
        <v>0.000297545459498227</v>
      </c>
    </row>
    <row r="1440" ht="14.25" customHeight="1" spans="2:4">
      <c r="B1440" s="137">
        <v>44113</v>
      </c>
      <c r="C1440" s="132">
        <v>11914.2</v>
      </c>
      <c r="D1440" s="135">
        <f t="shared" si="22"/>
        <v>0.00140588541404374</v>
      </c>
    </row>
    <row r="1441" ht="14.25" customHeight="1" spans="2:4">
      <c r="B1441" s="137">
        <v>44112</v>
      </c>
      <c r="C1441" s="132">
        <v>11834.6</v>
      </c>
      <c r="D1441" s="135">
        <f t="shared" si="22"/>
        <v>0.00672604059283799</v>
      </c>
    </row>
    <row r="1442" ht="14.25" customHeight="1" spans="2:4">
      <c r="B1442" s="137">
        <v>44111</v>
      </c>
      <c r="C1442" s="132">
        <v>11738.85</v>
      </c>
      <c r="D1442" s="135">
        <f t="shared" si="22"/>
        <v>0.00815667633541617</v>
      </c>
    </row>
    <row r="1443" ht="14.25" customHeight="1" spans="2:4">
      <c r="B1443" s="137">
        <v>44110</v>
      </c>
      <c r="C1443" s="132">
        <v>11662.4</v>
      </c>
      <c r="D1443" s="135">
        <f t="shared" si="22"/>
        <v>0.00655525449307182</v>
      </c>
    </row>
    <row r="1444" ht="14.25" customHeight="1" spans="2:4">
      <c r="B1444" s="137">
        <v>44109</v>
      </c>
      <c r="C1444" s="132">
        <v>11503.35</v>
      </c>
      <c r="D1444" s="135">
        <f t="shared" si="22"/>
        <v>0.0138264070901084</v>
      </c>
    </row>
    <row r="1445" ht="14.25" customHeight="1" spans="2:4">
      <c r="B1445" s="137">
        <v>44105</v>
      </c>
      <c r="C1445" s="132">
        <v>11416.95</v>
      </c>
      <c r="D1445" s="135">
        <f t="shared" si="22"/>
        <v>0.00756769540026014</v>
      </c>
    </row>
    <row r="1446" ht="14.25" customHeight="1" spans="2:4">
      <c r="B1446" s="137">
        <v>44104</v>
      </c>
      <c r="C1446" s="132">
        <v>11247.55</v>
      </c>
      <c r="D1446" s="135">
        <f t="shared" si="22"/>
        <v>0.0150610577414638</v>
      </c>
    </row>
    <row r="1447" ht="14.25" customHeight="1" spans="2:4">
      <c r="B1447" s="137">
        <v>44103</v>
      </c>
      <c r="C1447" s="132">
        <v>11222.4</v>
      </c>
      <c r="D1447" s="135">
        <f t="shared" si="22"/>
        <v>0.00224105360707161</v>
      </c>
    </row>
    <row r="1448" ht="14.25" customHeight="1" spans="2:4">
      <c r="B1448" s="137">
        <v>44102</v>
      </c>
      <c r="C1448" s="132">
        <v>11227.55</v>
      </c>
      <c r="D1448" s="135">
        <f t="shared" si="22"/>
        <v>-0.000458693125392373</v>
      </c>
    </row>
    <row r="1449" ht="14.25" customHeight="1" spans="2:4">
      <c r="B1449" s="137">
        <v>44099</v>
      </c>
      <c r="C1449" s="132">
        <v>11050.25</v>
      </c>
      <c r="D1449" s="135">
        <f t="shared" si="22"/>
        <v>0.0160448858623108</v>
      </c>
    </row>
    <row r="1450" ht="14.25" customHeight="1" spans="2:4">
      <c r="B1450" s="137">
        <v>44098</v>
      </c>
      <c r="C1450" s="132">
        <v>10805.55</v>
      </c>
      <c r="D1450" s="135">
        <f t="shared" si="22"/>
        <v>0.0226457699978253</v>
      </c>
    </row>
    <row r="1451" ht="14.25" customHeight="1" spans="2:4">
      <c r="B1451" s="137">
        <v>44097</v>
      </c>
      <c r="C1451" s="132">
        <v>11131.85</v>
      </c>
      <c r="D1451" s="135">
        <f t="shared" si="22"/>
        <v>-0.0293122886133034</v>
      </c>
    </row>
    <row r="1452" ht="14.25" customHeight="1" spans="2:4">
      <c r="B1452" s="137">
        <v>44096</v>
      </c>
      <c r="C1452" s="132">
        <v>11153.65</v>
      </c>
      <c r="D1452" s="135">
        <f t="shared" si="22"/>
        <v>-0.00195451713116324</v>
      </c>
    </row>
    <row r="1453" ht="14.25" customHeight="1" spans="2:4">
      <c r="B1453" s="137">
        <v>44095</v>
      </c>
      <c r="C1453" s="132">
        <v>11250.55</v>
      </c>
      <c r="D1453" s="135">
        <f t="shared" si="22"/>
        <v>-0.00861291225762295</v>
      </c>
    </row>
    <row r="1454" ht="14.25" customHeight="1" spans="2:4">
      <c r="B1454" s="137">
        <v>44092</v>
      </c>
      <c r="C1454" s="132">
        <v>11504.95</v>
      </c>
      <c r="D1454" s="135">
        <f t="shared" si="22"/>
        <v>-0.0221122212612833</v>
      </c>
    </row>
    <row r="1455" ht="14.25" customHeight="1" spans="2:4">
      <c r="B1455" s="137">
        <v>44091</v>
      </c>
      <c r="C1455" s="132">
        <v>11516.1</v>
      </c>
      <c r="D1455" s="135">
        <f t="shared" si="22"/>
        <v>-0.00096820972377798</v>
      </c>
    </row>
    <row r="1456" ht="14.25" customHeight="1" spans="2:4">
      <c r="B1456" s="137">
        <v>44090</v>
      </c>
      <c r="C1456" s="132">
        <v>11604.55</v>
      </c>
      <c r="D1456" s="135">
        <f t="shared" si="22"/>
        <v>-0.00762201033215415</v>
      </c>
    </row>
    <row r="1457" ht="14.25" customHeight="1" spans="2:4">
      <c r="B1457" s="137">
        <v>44089</v>
      </c>
      <c r="C1457" s="132">
        <v>11521.8</v>
      </c>
      <c r="D1457" s="135">
        <f t="shared" si="22"/>
        <v>0.00718203752885826</v>
      </c>
    </row>
    <row r="1458" ht="14.25" customHeight="1" spans="2:4">
      <c r="B1458" s="137">
        <v>44088</v>
      </c>
      <c r="C1458" s="132">
        <v>11440.05</v>
      </c>
      <c r="D1458" s="135">
        <f t="shared" si="22"/>
        <v>0.00714594778868971</v>
      </c>
    </row>
    <row r="1459" ht="14.25" customHeight="1" spans="2:4">
      <c r="B1459" s="137">
        <v>44085</v>
      </c>
      <c r="C1459" s="132">
        <v>11464.45</v>
      </c>
      <c r="D1459" s="135">
        <f t="shared" si="22"/>
        <v>-0.00212831841039052</v>
      </c>
    </row>
    <row r="1460" ht="14.25" customHeight="1" spans="2:4">
      <c r="B1460" s="137">
        <v>44084</v>
      </c>
      <c r="C1460" s="132">
        <v>11449.25</v>
      </c>
      <c r="D1460" s="135">
        <f t="shared" si="22"/>
        <v>0.0013275978775904</v>
      </c>
    </row>
    <row r="1461" ht="14.25" customHeight="1" spans="2:4">
      <c r="B1461" s="137">
        <v>44083</v>
      </c>
      <c r="C1461" s="132">
        <v>11278</v>
      </c>
      <c r="D1461" s="135">
        <f t="shared" si="22"/>
        <v>0.0151844298634509</v>
      </c>
    </row>
    <row r="1462" ht="14.25" customHeight="1" spans="2:4">
      <c r="B1462" s="137">
        <v>44082</v>
      </c>
      <c r="C1462" s="132">
        <v>11317.35</v>
      </c>
      <c r="D1462" s="135">
        <f t="shared" si="22"/>
        <v>-0.00347696236309736</v>
      </c>
    </row>
    <row r="1463" ht="14.25" customHeight="1" spans="2:4">
      <c r="B1463" s="137">
        <v>44081</v>
      </c>
      <c r="C1463" s="132">
        <v>11355.05</v>
      </c>
      <c r="D1463" s="135">
        <f t="shared" si="22"/>
        <v>-0.00332010867411403</v>
      </c>
    </row>
    <row r="1464" ht="14.25" customHeight="1" spans="2:4">
      <c r="B1464" s="137">
        <v>44078</v>
      </c>
      <c r="C1464" s="132">
        <v>11333.85</v>
      </c>
      <c r="D1464" s="135">
        <f t="shared" si="22"/>
        <v>0.00187050296236491</v>
      </c>
    </row>
    <row r="1465" ht="14.25" customHeight="1" spans="2:4">
      <c r="B1465" s="137">
        <v>44077</v>
      </c>
      <c r="C1465" s="132">
        <v>11527.45</v>
      </c>
      <c r="D1465" s="135">
        <f t="shared" si="22"/>
        <v>-0.016794694403359</v>
      </c>
    </row>
    <row r="1466" ht="14.25" customHeight="1" spans="2:4">
      <c r="B1466" s="137">
        <v>44076</v>
      </c>
      <c r="C1466" s="132">
        <v>11535</v>
      </c>
      <c r="D1466" s="135">
        <f t="shared" si="22"/>
        <v>-0.000654529692240891</v>
      </c>
    </row>
    <row r="1467" ht="14.25" customHeight="1" spans="2:4">
      <c r="B1467" s="137">
        <v>44075</v>
      </c>
      <c r="C1467" s="132">
        <v>11470.25</v>
      </c>
      <c r="D1467" s="135">
        <f t="shared" si="22"/>
        <v>0.00564503825112794</v>
      </c>
    </row>
    <row r="1468" ht="14.25" customHeight="1" spans="2:4">
      <c r="B1468" s="137">
        <v>44074</v>
      </c>
      <c r="C1468" s="132">
        <v>11387.5</v>
      </c>
      <c r="D1468" s="135">
        <f t="shared" si="22"/>
        <v>0.00726673984632265</v>
      </c>
    </row>
    <row r="1469" ht="14.25" customHeight="1" spans="2:4">
      <c r="B1469" s="137">
        <v>44071</v>
      </c>
      <c r="C1469" s="132">
        <v>11647.6</v>
      </c>
      <c r="D1469" s="135">
        <f t="shared" si="22"/>
        <v>-0.0223307805899928</v>
      </c>
    </row>
    <row r="1470" ht="14.25" customHeight="1" spans="2:4">
      <c r="B1470" s="137">
        <v>44070</v>
      </c>
      <c r="C1470" s="132">
        <v>11559.25</v>
      </c>
      <c r="D1470" s="135">
        <f t="shared" si="22"/>
        <v>0.00764322944827733</v>
      </c>
    </row>
    <row r="1471" ht="14.25" customHeight="1" spans="2:4">
      <c r="B1471" s="137">
        <v>44069</v>
      </c>
      <c r="C1471" s="132">
        <v>11549.6</v>
      </c>
      <c r="D1471" s="135">
        <f t="shared" si="22"/>
        <v>0.000835526771489903</v>
      </c>
    </row>
    <row r="1472" ht="14.25" customHeight="1" spans="2:4">
      <c r="B1472" s="137">
        <v>44068</v>
      </c>
      <c r="C1472" s="132">
        <v>11472.25</v>
      </c>
      <c r="D1472" s="135">
        <f t="shared" si="22"/>
        <v>0.00674235655603739</v>
      </c>
    </row>
    <row r="1473" ht="14.25" customHeight="1" spans="2:4">
      <c r="B1473" s="137">
        <v>44067</v>
      </c>
      <c r="C1473" s="132">
        <v>11466.45</v>
      </c>
      <c r="D1473" s="135">
        <f t="shared" si="22"/>
        <v>0.000505823511200099</v>
      </c>
    </row>
    <row r="1474" ht="14.25" customHeight="1" spans="2:4">
      <c r="B1474" s="137">
        <v>44064</v>
      </c>
      <c r="C1474" s="132">
        <v>11371.6</v>
      </c>
      <c r="D1474" s="135">
        <f t="shared" si="22"/>
        <v>0.008340954658975</v>
      </c>
    </row>
    <row r="1475" ht="14.25" customHeight="1" spans="2:4">
      <c r="B1475" s="137">
        <v>44063</v>
      </c>
      <c r="C1475" s="132">
        <v>11312.2</v>
      </c>
      <c r="D1475" s="135">
        <f t="shared" si="22"/>
        <v>0.0052509679814714</v>
      </c>
    </row>
    <row r="1476" ht="14.25" customHeight="1" spans="2:4">
      <c r="B1476" s="137">
        <v>44062</v>
      </c>
      <c r="C1476" s="132">
        <v>11408.4</v>
      </c>
      <c r="D1476" s="135">
        <f t="shared" si="22"/>
        <v>-0.00843238315627071</v>
      </c>
    </row>
    <row r="1477" ht="14.25" customHeight="1" spans="2:4">
      <c r="B1477" s="137">
        <v>44061</v>
      </c>
      <c r="C1477" s="132">
        <v>11385.35</v>
      </c>
      <c r="D1477" s="135">
        <f t="shared" si="22"/>
        <v>0.00202453152516169</v>
      </c>
    </row>
    <row r="1478" ht="14.25" customHeight="1" spans="2:4">
      <c r="B1478" s="137">
        <v>44060</v>
      </c>
      <c r="C1478" s="132">
        <v>11247.1</v>
      </c>
      <c r="D1478" s="135">
        <f t="shared" si="22"/>
        <v>0.0122920575081578</v>
      </c>
    </row>
    <row r="1479" ht="14.25" customHeight="1" spans="2:4">
      <c r="B1479" s="137">
        <v>44057</v>
      </c>
      <c r="C1479" s="132">
        <v>11178.4</v>
      </c>
      <c r="D1479" s="135">
        <f t="shared" si="22"/>
        <v>0.00614578114935949</v>
      </c>
    </row>
    <row r="1480" ht="14.25" customHeight="1" spans="2:4">
      <c r="B1480" s="137">
        <v>44056</v>
      </c>
      <c r="C1480" s="132">
        <v>11300.45</v>
      </c>
      <c r="D1480" s="135">
        <f t="shared" si="22"/>
        <v>-0.0108004548491433</v>
      </c>
    </row>
    <row r="1481" ht="14.25" customHeight="1" spans="2:4">
      <c r="B1481" s="137">
        <v>44055</v>
      </c>
      <c r="C1481" s="132">
        <v>11308.4</v>
      </c>
      <c r="D1481" s="135">
        <f t="shared" ref="D1481:D1544" si="23">C1480/C1481-1</f>
        <v>-0.000703017226132641</v>
      </c>
    </row>
    <row r="1482" ht="14.25" customHeight="1" spans="2:4">
      <c r="B1482" s="137">
        <v>44054</v>
      </c>
      <c r="C1482" s="132">
        <v>11322.5</v>
      </c>
      <c r="D1482" s="135">
        <f t="shared" si="23"/>
        <v>-0.00124530801501443</v>
      </c>
    </row>
    <row r="1483" ht="14.25" customHeight="1" spans="2:4">
      <c r="B1483" s="137">
        <v>44053</v>
      </c>
      <c r="C1483" s="132">
        <v>11270.15</v>
      </c>
      <c r="D1483" s="135">
        <f t="shared" si="23"/>
        <v>0.00464501359786706</v>
      </c>
    </row>
    <row r="1484" ht="14.25" customHeight="1" spans="2:4">
      <c r="B1484" s="137">
        <v>44050</v>
      </c>
      <c r="C1484" s="132">
        <v>11214.05</v>
      </c>
      <c r="D1484" s="135">
        <f t="shared" si="23"/>
        <v>0.00500265292200419</v>
      </c>
    </row>
    <row r="1485" ht="14.25" customHeight="1" spans="2:4">
      <c r="B1485" s="137">
        <v>44049</v>
      </c>
      <c r="C1485" s="132">
        <v>11200.15</v>
      </c>
      <c r="D1485" s="135">
        <f t="shared" si="23"/>
        <v>0.00124105480730163</v>
      </c>
    </row>
    <row r="1486" ht="14.25" customHeight="1" spans="2:4">
      <c r="B1486" s="137">
        <v>44048</v>
      </c>
      <c r="C1486" s="132">
        <v>11101.65</v>
      </c>
      <c r="D1486" s="135">
        <f t="shared" si="23"/>
        <v>0.00887255498056594</v>
      </c>
    </row>
    <row r="1487" ht="14.25" customHeight="1" spans="2:4">
      <c r="B1487" s="137">
        <v>44047</v>
      </c>
      <c r="C1487" s="132">
        <v>11095.25</v>
      </c>
      <c r="D1487" s="135">
        <f t="shared" si="23"/>
        <v>0.000576823415425531</v>
      </c>
    </row>
    <row r="1488" ht="14.25" customHeight="1" spans="2:4">
      <c r="B1488" s="137">
        <v>44046</v>
      </c>
      <c r="C1488" s="132">
        <v>10891.6</v>
      </c>
      <c r="D1488" s="135">
        <f t="shared" si="23"/>
        <v>0.0186978956259869</v>
      </c>
    </row>
    <row r="1489" ht="14.25" customHeight="1" spans="2:4">
      <c r="B1489" s="137">
        <v>44043</v>
      </c>
      <c r="C1489" s="132">
        <v>11073.45</v>
      </c>
      <c r="D1489" s="135">
        <f t="shared" si="23"/>
        <v>-0.0164221629212216</v>
      </c>
    </row>
    <row r="1490" ht="14.25" customHeight="1" spans="2:4">
      <c r="B1490" s="137">
        <v>44042</v>
      </c>
      <c r="C1490" s="132">
        <v>11102.15</v>
      </c>
      <c r="D1490" s="135">
        <f t="shared" si="23"/>
        <v>-0.00258508487094833</v>
      </c>
    </row>
    <row r="1491" ht="14.25" customHeight="1" spans="2:4">
      <c r="B1491" s="137">
        <v>44041</v>
      </c>
      <c r="C1491" s="132">
        <v>11202.85</v>
      </c>
      <c r="D1491" s="135">
        <f t="shared" si="23"/>
        <v>-0.00898878410404502</v>
      </c>
    </row>
    <row r="1492" ht="14.25" customHeight="1" spans="2:4">
      <c r="B1492" s="137">
        <v>44040</v>
      </c>
      <c r="C1492" s="132">
        <v>11300.55</v>
      </c>
      <c r="D1492" s="135">
        <f t="shared" si="23"/>
        <v>-0.00864559689572619</v>
      </c>
    </row>
    <row r="1493" ht="14.25" customHeight="1" spans="2:4">
      <c r="B1493" s="137">
        <v>44039</v>
      </c>
      <c r="C1493" s="132">
        <v>11131.8</v>
      </c>
      <c r="D1493" s="135">
        <f t="shared" si="23"/>
        <v>0.015159273432868</v>
      </c>
    </row>
    <row r="1494" ht="14.25" customHeight="1" spans="2:4">
      <c r="B1494" s="137">
        <v>44036</v>
      </c>
      <c r="C1494" s="132">
        <v>11194.15</v>
      </c>
      <c r="D1494" s="135">
        <f t="shared" si="23"/>
        <v>-0.00556987355002392</v>
      </c>
    </row>
    <row r="1495" ht="14.25" customHeight="1" spans="2:4">
      <c r="B1495" s="137">
        <v>44035</v>
      </c>
      <c r="C1495" s="132">
        <v>11215.45</v>
      </c>
      <c r="D1495" s="135">
        <f t="shared" si="23"/>
        <v>-0.00189916588277783</v>
      </c>
    </row>
    <row r="1496" ht="14.25" customHeight="1" spans="2:4">
      <c r="B1496" s="137">
        <v>44034</v>
      </c>
      <c r="C1496" s="132">
        <v>11132.6</v>
      </c>
      <c r="D1496" s="135">
        <f t="shared" si="23"/>
        <v>0.00744210696512937</v>
      </c>
    </row>
    <row r="1497" ht="14.25" customHeight="1" spans="2:4">
      <c r="B1497" s="137">
        <v>44033</v>
      </c>
      <c r="C1497" s="132">
        <v>11162.25</v>
      </c>
      <c r="D1497" s="135">
        <f t="shared" si="23"/>
        <v>-0.0026562744966292</v>
      </c>
    </row>
    <row r="1498" ht="14.25" customHeight="1" spans="2:4">
      <c r="B1498" s="137">
        <v>44032</v>
      </c>
      <c r="C1498" s="132">
        <v>11022.2</v>
      </c>
      <c r="D1498" s="135">
        <f t="shared" si="23"/>
        <v>0.0127061748108361</v>
      </c>
    </row>
    <row r="1499" ht="14.25" customHeight="1" spans="2:4">
      <c r="B1499" s="137">
        <v>44029</v>
      </c>
      <c r="C1499" s="132">
        <v>10901.7</v>
      </c>
      <c r="D1499" s="135">
        <f t="shared" si="23"/>
        <v>0.0110533219589606</v>
      </c>
    </row>
    <row r="1500" ht="14.25" customHeight="1" spans="2:4">
      <c r="B1500" s="137">
        <v>44028</v>
      </c>
      <c r="C1500" s="132">
        <v>10739.95</v>
      </c>
      <c r="D1500" s="135">
        <f t="shared" si="23"/>
        <v>0.0150605915297557</v>
      </c>
    </row>
    <row r="1501" ht="14.25" customHeight="1" spans="2:4">
      <c r="B1501" s="137">
        <v>44027</v>
      </c>
      <c r="C1501" s="132">
        <v>10618.2</v>
      </c>
      <c r="D1501" s="135">
        <f t="shared" si="23"/>
        <v>0.0114661618730105</v>
      </c>
    </row>
    <row r="1502" ht="14.25" customHeight="1" spans="2:4">
      <c r="B1502" s="137">
        <v>44026</v>
      </c>
      <c r="C1502" s="132">
        <v>10607.35</v>
      </c>
      <c r="D1502" s="135">
        <f t="shared" si="23"/>
        <v>0.00102287564754633</v>
      </c>
    </row>
    <row r="1503" ht="14.25" customHeight="1" spans="2:4">
      <c r="B1503" s="137">
        <v>44025</v>
      </c>
      <c r="C1503" s="132">
        <v>10802.7</v>
      </c>
      <c r="D1503" s="135">
        <f t="shared" si="23"/>
        <v>-0.0180834421024374</v>
      </c>
    </row>
    <row r="1504" ht="14.25" customHeight="1" spans="2:4">
      <c r="B1504" s="137">
        <v>44022</v>
      </c>
      <c r="C1504" s="132">
        <v>10768.05</v>
      </c>
      <c r="D1504" s="135">
        <f t="shared" si="23"/>
        <v>0.00321785281457654</v>
      </c>
    </row>
    <row r="1505" ht="14.25" customHeight="1" spans="2:4">
      <c r="B1505" s="137">
        <v>44021</v>
      </c>
      <c r="C1505" s="132">
        <v>10813.45</v>
      </c>
      <c r="D1505" s="135">
        <f t="shared" si="23"/>
        <v>-0.00419847504727922</v>
      </c>
    </row>
    <row r="1506" ht="14.25" customHeight="1" spans="2:4">
      <c r="B1506" s="137">
        <v>44020</v>
      </c>
      <c r="C1506" s="132">
        <v>10705.75</v>
      </c>
      <c r="D1506" s="135">
        <f t="shared" si="23"/>
        <v>0.010060014478201</v>
      </c>
    </row>
    <row r="1507" ht="14.25" customHeight="1" spans="2:4">
      <c r="B1507" s="137">
        <v>44019</v>
      </c>
      <c r="C1507" s="132">
        <v>10799.65</v>
      </c>
      <c r="D1507" s="135">
        <f t="shared" si="23"/>
        <v>-0.00869472621797929</v>
      </c>
    </row>
    <row r="1508" ht="14.25" customHeight="1" spans="2:4">
      <c r="B1508" s="137">
        <v>44018</v>
      </c>
      <c r="C1508" s="132">
        <v>10763.65</v>
      </c>
      <c r="D1508" s="135">
        <f t="shared" si="23"/>
        <v>0.00334459035736012</v>
      </c>
    </row>
    <row r="1509" ht="14.25" customHeight="1" spans="2:4">
      <c r="B1509" s="137">
        <v>44015</v>
      </c>
      <c r="C1509" s="132">
        <v>10607.35</v>
      </c>
      <c r="D1509" s="135">
        <f t="shared" si="23"/>
        <v>0.0147350657798602</v>
      </c>
    </row>
    <row r="1510" ht="14.25" customHeight="1" spans="2:4">
      <c r="B1510" s="137">
        <v>44014</v>
      </c>
      <c r="C1510" s="132">
        <v>10551.7</v>
      </c>
      <c r="D1510" s="135">
        <f t="shared" si="23"/>
        <v>0.00527403167262142</v>
      </c>
    </row>
    <row r="1511" ht="14.25" customHeight="1" spans="2:4">
      <c r="B1511" s="137">
        <v>44013</v>
      </c>
      <c r="C1511" s="132">
        <v>10430.05</v>
      </c>
      <c r="D1511" s="135">
        <f t="shared" si="23"/>
        <v>0.0116634148446078</v>
      </c>
    </row>
    <row r="1512" ht="14.25" customHeight="1" spans="2:4">
      <c r="B1512" s="137">
        <v>44012</v>
      </c>
      <c r="C1512" s="132">
        <v>10302.1</v>
      </c>
      <c r="D1512" s="135">
        <f t="shared" si="23"/>
        <v>0.0124197979052814</v>
      </c>
    </row>
    <row r="1513" ht="14.25" customHeight="1" spans="2:4">
      <c r="B1513" s="137">
        <v>44011</v>
      </c>
      <c r="C1513" s="132">
        <v>10312.4</v>
      </c>
      <c r="D1513" s="135">
        <f t="shared" si="23"/>
        <v>-0.000998797564097487</v>
      </c>
    </row>
    <row r="1514" ht="14.25" customHeight="1" spans="2:4">
      <c r="B1514" s="137">
        <v>44008</v>
      </c>
      <c r="C1514" s="132">
        <v>10383</v>
      </c>
      <c r="D1514" s="135">
        <f t="shared" si="23"/>
        <v>-0.00679957623037664</v>
      </c>
    </row>
    <row r="1515" ht="14.25" customHeight="1" spans="2:4">
      <c r="B1515" s="137">
        <v>44007</v>
      </c>
      <c r="C1515" s="132">
        <v>10288.9</v>
      </c>
      <c r="D1515" s="135">
        <f t="shared" si="23"/>
        <v>0.00914577846028242</v>
      </c>
    </row>
    <row r="1516" ht="14.25" customHeight="1" spans="2:4">
      <c r="B1516" s="137">
        <v>44006</v>
      </c>
      <c r="C1516" s="132">
        <v>10305.3</v>
      </c>
      <c r="D1516" s="135">
        <f t="shared" si="23"/>
        <v>-0.00159141412671149</v>
      </c>
    </row>
    <row r="1517" ht="14.25" customHeight="1" spans="2:4">
      <c r="B1517" s="137">
        <v>44005</v>
      </c>
      <c r="C1517" s="132">
        <v>10471</v>
      </c>
      <c r="D1517" s="135">
        <f t="shared" si="23"/>
        <v>-0.0158246585808424</v>
      </c>
    </row>
    <row r="1518" ht="14.25" customHeight="1" spans="2:4">
      <c r="B1518" s="137">
        <v>44004</v>
      </c>
      <c r="C1518" s="132">
        <v>10311.2</v>
      </c>
      <c r="D1518" s="135">
        <f t="shared" si="23"/>
        <v>0.0154977112266272</v>
      </c>
    </row>
    <row r="1519" ht="14.25" customHeight="1" spans="2:4">
      <c r="B1519" s="137">
        <v>44001</v>
      </c>
      <c r="C1519" s="132">
        <v>10244.4</v>
      </c>
      <c r="D1519" s="135">
        <f t="shared" si="23"/>
        <v>0.00652063566436301</v>
      </c>
    </row>
    <row r="1520" ht="14.25" customHeight="1" spans="2:4">
      <c r="B1520" s="137">
        <v>44000</v>
      </c>
      <c r="C1520" s="132">
        <v>10091.65</v>
      </c>
      <c r="D1520" s="135">
        <f t="shared" si="23"/>
        <v>0.0151362760301834</v>
      </c>
    </row>
    <row r="1521" ht="14.25" customHeight="1" spans="2:4">
      <c r="B1521" s="137">
        <v>43999</v>
      </c>
      <c r="C1521" s="132">
        <v>9881.15</v>
      </c>
      <c r="D1521" s="135">
        <f t="shared" si="23"/>
        <v>0.0213031883940635</v>
      </c>
    </row>
    <row r="1522" ht="14.25" customHeight="1" spans="2:4">
      <c r="B1522" s="137">
        <v>43998</v>
      </c>
      <c r="C1522" s="132">
        <v>9914</v>
      </c>
      <c r="D1522" s="135">
        <f t="shared" si="23"/>
        <v>-0.00331349606616904</v>
      </c>
    </row>
    <row r="1523" ht="14.25" customHeight="1" spans="2:4">
      <c r="B1523" s="137">
        <v>43997</v>
      </c>
      <c r="C1523" s="132">
        <v>9813.7</v>
      </c>
      <c r="D1523" s="135">
        <f t="shared" si="23"/>
        <v>0.0102204061668891</v>
      </c>
    </row>
    <row r="1524" ht="14.25" customHeight="1" spans="2:4">
      <c r="B1524" s="137">
        <v>43994</v>
      </c>
      <c r="C1524" s="132">
        <v>9972.9</v>
      </c>
      <c r="D1524" s="135">
        <f t="shared" si="23"/>
        <v>-0.0159632604357809</v>
      </c>
    </row>
    <row r="1525" ht="14.25" customHeight="1" spans="2:4">
      <c r="B1525" s="137">
        <v>43993</v>
      </c>
      <c r="C1525" s="132">
        <v>9902</v>
      </c>
      <c r="D1525" s="135">
        <f t="shared" si="23"/>
        <v>0.00716016966269439</v>
      </c>
    </row>
    <row r="1526" ht="14.25" customHeight="1" spans="2:4">
      <c r="B1526" s="137">
        <v>43992</v>
      </c>
      <c r="C1526" s="132">
        <v>10116.15</v>
      </c>
      <c r="D1526" s="135">
        <f t="shared" si="23"/>
        <v>-0.0211691206634935</v>
      </c>
    </row>
    <row r="1527" ht="14.25" customHeight="1" spans="2:4">
      <c r="B1527" s="137">
        <v>43991</v>
      </c>
      <c r="C1527" s="132">
        <v>10046.65</v>
      </c>
      <c r="D1527" s="135">
        <f t="shared" si="23"/>
        <v>0.0069177287951705</v>
      </c>
    </row>
    <row r="1528" ht="14.25" customHeight="1" spans="2:4">
      <c r="B1528" s="137">
        <v>43990</v>
      </c>
      <c r="C1528" s="132">
        <v>10167.45</v>
      </c>
      <c r="D1528" s="135">
        <f t="shared" si="23"/>
        <v>-0.0118810517878132</v>
      </c>
    </row>
    <row r="1529" ht="14.25" customHeight="1" spans="2:4">
      <c r="B1529" s="137">
        <v>43987</v>
      </c>
      <c r="C1529" s="132">
        <v>10142.15</v>
      </c>
      <c r="D1529" s="135">
        <f t="shared" si="23"/>
        <v>0.00249454011230377</v>
      </c>
    </row>
    <row r="1530" ht="14.25" customHeight="1" spans="2:4">
      <c r="B1530" s="137">
        <v>43986</v>
      </c>
      <c r="C1530" s="132">
        <v>10029.1</v>
      </c>
      <c r="D1530" s="135">
        <f t="shared" si="23"/>
        <v>0.0112721979040991</v>
      </c>
    </row>
    <row r="1531" ht="14.25" customHeight="1" spans="2:4">
      <c r="B1531" s="137">
        <v>43985</v>
      </c>
      <c r="C1531" s="132">
        <v>10061.55</v>
      </c>
      <c r="D1531" s="135">
        <f t="shared" si="23"/>
        <v>-0.00322514920663308</v>
      </c>
    </row>
    <row r="1532" ht="14.25" customHeight="1" spans="2:4">
      <c r="B1532" s="137">
        <v>43984</v>
      </c>
      <c r="C1532" s="132">
        <v>9979.1</v>
      </c>
      <c r="D1532" s="135">
        <f t="shared" si="23"/>
        <v>0.00826226814041342</v>
      </c>
    </row>
    <row r="1533" ht="14.25" customHeight="1" spans="2:4">
      <c r="B1533" s="137">
        <v>43983</v>
      </c>
      <c r="C1533" s="132">
        <v>9826.15</v>
      </c>
      <c r="D1533" s="135">
        <f t="shared" si="23"/>
        <v>0.0155656080967623</v>
      </c>
    </row>
    <row r="1534" ht="14.25" customHeight="1" spans="2:4">
      <c r="B1534" s="137">
        <v>43980</v>
      </c>
      <c r="C1534" s="132">
        <v>9580.3</v>
      </c>
      <c r="D1534" s="135">
        <f t="shared" si="23"/>
        <v>0.0256620356356274</v>
      </c>
    </row>
    <row r="1535" ht="14.25" customHeight="1" spans="2:4">
      <c r="B1535" s="137">
        <v>43979</v>
      </c>
      <c r="C1535" s="132">
        <v>9490.1</v>
      </c>
      <c r="D1535" s="135">
        <f t="shared" si="23"/>
        <v>0.00950464167922349</v>
      </c>
    </row>
    <row r="1536" ht="14.25" customHeight="1" spans="2:4">
      <c r="B1536" s="137">
        <v>43978</v>
      </c>
      <c r="C1536" s="132">
        <v>9314.95</v>
      </c>
      <c r="D1536" s="135">
        <f t="shared" si="23"/>
        <v>0.0188031068336383</v>
      </c>
    </row>
    <row r="1537" ht="14.25" customHeight="1" spans="2:4">
      <c r="B1537" s="137">
        <v>43977</v>
      </c>
      <c r="C1537" s="132">
        <v>9029.05</v>
      </c>
      <c r="D1537" s="135">
        <f t="shared" si="23"/>
        <v>0.0316644608236749</v>
      </c>
    </row>
    <row r="1538" ht="14.25" customHeight="1" spans="2:4">
      <c r="B1538" s="137">
        <v>43973</v>
      </c>
      <c r="C1538" s="132">
        <v>9039.25</v>
      </c>
      <c r="D1538" s="135">
        <f t="shared" si="23"/>
        <v>-0.00112841220233983</v>
      </c>
    </row>
    <row r="1539" ht="14.25" customHeight="1" spans="2:4">
      <c r="B1539" s="137">
        <v>43972</v>
      </c>
      <c r="C1539" s="132">
        <v>9106.25</v>
      </c>
      <c r="D1539" s="135">
        <f t="shared" si="23"/>
        <v>-0.00735758407687026</v>
      </c>
    </row>
    <row r="1540" ht="14.25" customHeight="1" spans="2:4">
      <c r="B1540" s="137">
        <v>43971</v>
      </c>
      <c r="C1540" s="132">
        <v>9066.55</v>
      </c>
      <c r="D1540" s="135">
        <f t="shared" si="23"/>
        <v>0.00437873281457679</v>
      </c>
    </row>
    <row r="1541" ht="14.25" customHeight="1" spans="2:4">
      <c r="B1541" s="137">
        <v>43970</v>
      </c>
      <c r="C1541" s="132">
        <v>8879.1</v>
      </c>
      <c r="D1541" s="135">
        <f t="shared" si="23"/>
        <v>0.0211113739005078</v>
      </c>
    </row>
    <row r="1542" ht="14.25" customHeight="1" spans="2:4">
      <c r="B1542" s="137">
        <v>43969</v>
      </c>
      <c r="C1542" s="132">
        <v>8823.25</v>
      </c>
      <c r="D1542" s="135">
        <f t="shared" si="23"/>
        <v>0.00632986711245853</v>
      </c>
    </row>
    <row r="1543" ht="14.25" customHeight="1" spans="2:4">
      <c r="B1543" s="137">
        <v>43966</v>
      </c>
      <c r="C1543" s="132">
        <v>9136.85</v>
      </c>
      <c r="D1543" s="135">
        <f t="shared" si="23"/>
        <v>-0.0343225509885793</v>
      </c>
    </row>
    <row r="1544" ht="14.25" customHeight="1" spans="2:4">
      <c r="B1544" s="137">
        <v>43965</v>
      </c>
      <c r="C1544" s="132">
        <v>9142.75</v>
      </c>
      <c r="D1544" s="135">
        <f t="shared" si="23"/>
        <v>-0.000645320062344412</v>
      </c>
    </row>
    <row r="1545" ht="14.25" customHeight="1" spans="2:4">
      <c r="B1545" s="137">
        <v>43964</v>
      </c>
      <c r="C1545" s="132">
        <v>9383.55</v>
      </c>
      <c r="D1545" s="135">
        <f t="shared" ref="D1545:D1608" si="24">C1544/C1545-1</f>
        <v>-0.0256619296534892</v>
      </c>
    </row>
    <row r="1546" ht="14.25" customHeight="1" spans="2:4">
      <c r="B1546" s="137">
        <v>43963</v>
      </c>
      <c r="C1546" s="132">
        <v>9196.55</v>
      </c>
      <c r="D1546" s="135">
        <f t="shared" si="24"/>
        <v>0.0203337120985587</v>
      </c>
    </row>
    <row r="1547" ht="14.25" customHeight="1" spans="2:4">
      <c r="B1547" s="137">
        <v>43962</v>
      </c>
      <c r="C1547" s="132">
        <v>9239.2</v>
      </c>
      <c r="D1547" s="135">
        <f t="shared" si="24"/>
        <v>-0.0046162005368432</v>
      </c>
    </row>
    <row r="1548" ht="14.25" customHeight="1" spans="2:4">
      <c r="B1548" s="137">
        <v>43959</v>
      </c>
      <c r="C1548" s="132">
        <v>9251.5</v>
      </c>
      <c r="D1548" s="135">
        <f t="shared" si="24"/>
        <v>-0.00132951413284321</v>
      </c>
    </row>
    <row r="1549" ht="14.25" customHeight="1" spans="2:4">
      <c r="B1549" s="137">
        <v>43958</v>
      </c>
      <c r="C1549" s="132">
        <v>9199.05</v>
      </c>
      <c r="D1549" s="135">
        <f t="shared" si="24"/>
        <v>0.00570167571651425</v>
      </c>
    </row>
    <row r="1550" ht="14.25" customHeight="1" spans="2:4">
      <c r="B1550" s="137">
        <v>43957</v>
      </c>
      <c r="C1550" s="132">
        <v>9270.9</v>
      </c>
      <c r="D1550" s="135">
        <f t="shared" si="24"/>
        <v>-0.00775005662880635</v>
      </c>
    </row>
    <row r="1551" ht="14.25" customHeight="1" spans="2:4">
      <c r="B1551" s="137">
        <v>43956</v>
      </c>
      <c r="C1551" s="132">
        <v>9205.6</v>
      </c>
      <c r="D1551" s="135">
        <f t="shared" si="24"/>
        <v>0.007093508299296</v>
      </c>
    </row>
    <row r="1552" ht="14.25" customHeight="1" spans="2:4">
      <c r="B1552" s="137">
        <v>43955</v>
      </c>
      <c r="C1552" s="132">
        <v>9293.5</v>
      </c>
      <c r="D1552" s="135">
        <f t="shared" si="24"/>
        <v>-0.00945822348953562</v>
      </c>
    </row>
    <row r="1553" ht="14.25" customHeight="1" spans="2:4">
      <c r="B1553" s="137">
        <v>43951</v>
      </c>
      <c r="C1553" s="132">
        <v>9859.9</v>
      </c>
      <c r="D1553" s="135">
        <f t="shared" si="24"/>
        <v>-0.0574448016714165</v>
      </c>
    </row>
    <row r="1554" ht="14.25" customHeight="1" spans="2:4">
      <c r="B1554" s="137">
        <v>43950</v>
      </c>
      <c r="C1554" s="132">
        <v>9553.35</v>
      </c>
      <c r="D1554" s="135">
        <f t="shared" si="24"/>
        <v>0.0320882203624906</v>
      </c>
    </row>
    <row r="1555" ht="14.25" customHeight="1" spans="2:4">
      <c r="B1555" s="137">
        <v>43949</v>
      </c>
      <c r="C1555" s="132">
        <v>9380.9</v>
      </c>
      <c r="D1555" s="135">
        <f t="shared" si="24"/>
        <v>0.0183830975705956</v>
      </c>
    </row>
    <row r="1556" ht="14.25" customHeight="1" spans="2:4">
      <c r="B1556" s="137">
        <v>43948</v>
      </c>
      <c r="C1556" s="132">
        <v>9282.3</v>
      </c>
      <c r="D1556" s="135">
        <f t="shared" si="24"/>
        <v>0.0106223673012078</v>
      </c>
    </row>
    <row r="1557" ht="14.25" customHeight="1" spans="2:4">
      <c r="B1557" s="137">
        <v>43945</v>
      </c>
      <c r="C1557" s="132">
        <v>9154.4</v>
      </c>
      <c r="D1557" s="135">
        <f t="shared" si="24"/>
        <v>0.0139714235777331</v>
      </c>
    </row>
    <row r="1558" ht="14.25" customHeight="1" spans="2:4">
      <c r="B1558" s="137">
        <v>43944</v>
      </c>
      <c r="C1558" s="132">
        <v>9313.9</v>
      </c>
      <c r="D1558" s="135">
        <f t="shared" si="24"/>
        <v>-0.0171249422905549</v>
      </c>
    </row>
    <row r="1559" ht="14.25" customHeight="1" spans="2:4">
      <c r="B1559" s="137">
        <v>43943</v>
      </c>
      <c r="C1559" s="132">
        <v>9187.3</v>
      </c>
      <c r="D1559" s="135">
        <f t="shared" si="24"/>
        <v>0.0137798918071685</v>
      </c>
    </row>
    <row r="1560" ht="14.25" customHeight="1" spans="2:4">
      <c r="B1560" s="137">
        <v>43942</v>
      </c>
      <c r="C1560" s="132">
        <v>8981.45</v>
      </c>
      <c r="D1560" s="135">
        <f t="shared" si="24"/>
        <v>0.0229194617795565</v>
      </c>
    </row>
    <row r="1561" ht="14.25" customHeight="1" spans="2:4">
      <c r="B1561" s="137">
        <v>43941</v>
      </c>
      <c r="C1561" s="132">
        <v>9261.85</v>
      </c>
      <c r="D1561" s="135">
        <f t="shared" si="24"/>
        <v>-0.0302747291307892</v>
      </c>
    </row>
    <row r="1562" ht="14.25" customHeight="1" spans="2:4">
      <c r="B1562" s="137">
        <v>43938</v>
      </c>
      <c r="C1562" s="132">
        <v>9266.75</v>
      </c>
      <c r="D1562" s="135">
        <f t="shared" si="24"/>
        <v>-0.000528772223271301</v>
      </c>
    </row>
    <row r="1563" ht="14.25" customHeight="1" spans="2:4">
      <c r="B1563" s="137">
        <v>43937</v>
      </c>
      <c r="C1563" s="132">
        <v>8992.8</v>
      </c>
      <c r="D1563" s="135">
        <f t="shared" si="24"/>
        <v>0.0304632594964862</v>
      </c>
    </row>
    <row r="1564" ht="14.25" customHeight="1" spans="2:4">
      <c r="B1564" s="137">
        <v>43936</v>
      </c>
      <c r="C1564" s="132">
        <v>8925.3</v>
      </c>
      <c r="D1564" s="135">
        <f t="shared" si="24"/>
        <v>0.00756277099929403</v>
      </c>
    </row>
    <row r="1565" ht="14.25" customHeight="1" spans="2:4">
      <c r="B1565" s="137">
        <v>43934</v>
      </c>
      <c r="C1565" s="132">
        <v>8993.85</v>
      </c>
      <c r="D1565" s="135">
        <f t="shared" si="24"/>
        <v>-0.00762187494788114</v>
      </c>
    </row>
    <row r="1566" ht="14.25" customHeight="1" spans="2:4">
      <c r="B1566" s="137">
        <v>43930</v>
      </c>
      <c r="C1566" s="132">
        <v>9111.9</v>
      </c>
      <c r="D1566" s="135">
        <f t="shared" si="24"/>
        <v>-0.0129555855529582</v>
      </c>
    </row>
    <row r="1567" ht="14.25" customHeight="1" spans="2:4">
      <c r="B1567" s="137">
        <v>43929</v>
      </c>
      <c r="C1567" s="132">
        <v>8748.75</v>
      </c>
      <c r="D1567" s="135">
        <f t="shared" si="24"/>
        <v>0.0415087869695669</v>
      </c>
    </row>
    <row r="1568" ht="14.25" customHeight="1" spans="2:4">
      <c r="B1568" s="137">
        <v>43928</v>
      </c>
      <c r="C1568" s="132">
        <v>8792.2</v>
      </c>
      <c r="D1568" s="135">
        <f t="shared" si="24"/>
        <v>-0.00494188030299592</v>
      </c>
    </row>
    <row r="1569" ht="14.25" customHeight="1" spans="2:4">
      <c r="B1569" s="137">
        <v>43924</v>
      </c>
      <c r="C1569" s="132">
        <v>8083.8</v>
      </c>
      <c r="D1569" s="135">
        <f t="shared" si="24"/>
        <v>0.0876320542319207</v>
      </c>
    </row>
    <row r="1570" ht="14.25" customHeight="1" spans="2:4">
      <c r="B1570" s="137">
        <v>43922</v>
      </c>
      <c r="C1570" s="132">
        <v>8253.8</v>
      </c>
      <c r="D1570" s="135">
        <f t="shared" si="24"/>
        <v>-0.0205965736993868</v>
      </c>
    </row>
    <row r="1571" ht="14.25" customHeight="1" spans="2:4">
      <c r="B1571" s="137">
        <v>43921</v>
      </c>
      <c r="C1571" s="132">
        <v>8597.75</v>
      </c>
      <c r="D1571" s="135">
        <f t="shared" si="24"/>
        <v>-0.0400046523799832</v>
      </c>
    </row>
    <row r="1572" ht="14.25" customHeight="1" spans="2:4">
      <c r="B1572" s="137">
        <v>43920</v>
      </c>
      <c r="C1572" s="132">
        <v>8281.1</v>
      </c>
      <c r="D1572" s="135">
        <f t="shared" si="24"/>
        <v>0.038237673738996</v>
      </c>
    </row>
    <row r="1573" ht="14.25" customHeight="1" spans="2:4">
      <c r="B1573" s="137">
        <v>43917</v>
      </c>
      <c r="C1573" s="132">
        <v>8660.25</v>
      </c>
      <c r="D1573" s="135">
        <f t="shared" si="24"/>
        <v>-0.0437804913253081</v>
      </c>
    </row>
    <row r="1574" ht="14.25" customHeight="1" spans="2:4">
      <c r="B1574" s="137">
        <v>43916</v>
      </c>
      <c r="C1574" s="132">
        <v>8641.45</v>
      </c>
      <c r="D1574" s="135">
        <f t="shared" si="24"/>
        <v>0.00217556081444648</v>
      </c>
    </row>
    <row r="1575" ht="14.25" customHeight="1" spans="2:4">
      <c r="B1575" s="137">
        <v>43915</v>
      </c>
      <c r="C1575" s="132">
        <v>8317.85</v>
      </c>
      <c r="D1575" s="135">
        <f t="shared" si="24"/>
        <v>0.0389042841599692</v>
      </c>
    </row>
    <row r="1576" ht="14.25" customHeight="1" spans="2:4">
      <c r="B1576" s="137">
        <v>43914</v>
      </c>
      <c r="C1576" s="132">
        <v>7801.05</v>
      </c>
      <c r="D1576" s="135">
        <f t="shared" si="24"/>
        <v>0.0662474923247511</v>
      </c>
    </row>
    <row r="1577" ht="14.25" customHeight="1" spans="2:4">
      <c r="B1577" s="137">
        <v>43913</v>
      </c>
      <c r="C1577" s="132">
        <v>7610.25</v>
      </c>
      <c r="D1577" s="135">
        <f t="shared" si="24"/>
        <v>0.0250714496895634</v>
      </c>
    </row>
    <row r="1578" ht="14.25" customHeight="1" spans="2:4">
      <c r="B1578" s="137">
        <v>43910</v>
      </c>
      <c r="C1578" s="132">
        <v>8745.45</v>
      </c>
      <c r="D1578" s="135">
        <f t="shared" si="24"/>
        <v>-0.129804641270604</v>
      </c>
    </row>
    <row r="1579" ht="14.25" customHeight="1" spans="2:4">
      <c r="B1579" s="137">
        <v>43909</v>
      </c>
      <c r="C1579" s="132">
        <v>8263.45</v>
      </c>
      <c r="D1579" s="135">
        <f t="shared" si="24"/>
        <v>0.0583291482371164</v>
      </c>
    </row>
    <row r="1580" ht="14.25" customHeight="1" spans="2:4">
      <c r="B1580" s="137">
        <v>43908</v>
      </c>
      <c r="C1580" s="132">
        <v>8468.8</v>
      </c>
      <c r="D1580" s="135">
        <f t="shared" si="24"/>
        <v>-0.0242478273191006</v>
      </c>
    </row>
    <row r="1581" ht="14.25" customHeight="1" spans="2:4">
      <c r="B1581" s="137">
        <v>43907</v>
      </c>
      <c r="C1581" s="132">
        <v>8967.05</v>
      </c>
      <c r="D1581" s="135">
        <f t="shared" si="24"/>
        <v>-0.0555645390624564</v>
      </c>
    </row>
    <row r="1582" ht="14.25" customHeight="1" spans="2:4">
      <c r="B1582" s="137">
        <v>43906</v>
      </c>
      <c r="C1582" s="132">
        <v>9197.4</v>
      </c>
      <c r="D1582" s="135">
        <f t="shared" si="24"/>
        <v>-0.0250451214473656</v>
      </c>
    </row>
    <row r="1583" ht="14.25" customHeight="1" spans="2:4">
      <c r="B1583" s="137">
        <v>43903</v>
      </c>
      <c r="C1583" s="132">
        <v>9955.2</v>
      </c>
      <c r="D1583" s="135">
        <f t="shared" si="24"/>
        <v>-0.0761210221793637</v>
      </c>
    </row>
    <row r="1584" ht="14.25" customHeight="1" spans="2:4">
      <c r="B1584" s="137">
        <v>43902</v>
      </c>
      <c r="C1584" s="132">
        <v>9590.15</v>
      </c>
      <c r="D1584" s="135">
        <f t="shared" si="24"/>
        <v>0.038065098043305</v>
      </c>
    </row>
    <row r="1585" ht="14.25" customHeight="1" spans="2:4">
      <c r="B1585" s="137">
        <v>43901</v>
      </c>
      <c r="C1585" s="132">
        <v>10458.4</v>
      </c>
      <c r="D1585" s="135">
        <f t="shared" si="24"/>
        <v>-0.0830193911114511</v>
      </c>
    </row>
    <row r="1586" ht="14.25" customHeight="1" spans="2:4">
      <c r="B1586" s="137">
        <v>43899</v>
      </c>
      <c r="C1586" s="132">
        <v>10451.45</v>
      </c>
      <c r="D1586" s="135">
        <f t="shared" si="24"/>
        <v>0.000664979500452079</v>
      </c>
    </row>
    <row r="1587" ht="14.25" customHeight="1" spans="2:4">
      <c r="B1587" s="137">
        <v>43896</v>
      </c>
      <c r="C1587" s="132">
        <v>10989.45</v>
      </c>
      <c r="D1587" s="135">
        <f t="shared" si="24"/>
        <v>-0.0489560442060339</v>
      </c>
    </row>
    <row r="1588" ht="14.25" customHeight="1" spans="2:4">
      <c r="B1588" s="137">
        <v>43895</v>
      </c>
      <c r="C1588" s="132">
        <v>11269</v>
      </c>
      <c r="D1588" s="135">
        <f t="shared" si="24"/>
        <v>-0.0248069926346614</v>
      </c>
    </row>
    <row r="1589" ht="14.25" customHeight="1" spans="2:4">
      <c r="B1589" s="137">
        <v>43894</v>
      </c>
      <c r="C1589" s="132">
        <v>11251</v>
      </c>
      <c r="D1589" s="135">
        <f t="shared" si="24"/>
        <v>0.0015998577904186</v>
      </c>
    </row>
    <row r="1590" ht="14.25" customHeight="1" spans="2:4">
      <c r="B1590" s="137">
        <v>43893</v>
      </c>
      <c r="C1590" s="132">
        <v>11303.3</v>
      </c>
      <c r="D1590" s="135">
        <f t="shared" si="24"/>
        <v>-0.00462696734581924</v>
      </c>
    </row>
    <row r="1591" ht="14.25" customHeight="1" spans="2:4">
      <c r="B1591" s="137">
        <v>43892</v>
      </c>
      <c r="C1591" s="132">
        <v>11132.75</v>
      </c>
      <c r="D1591" s="135">
        <f t="shared" si="24"/>
        <v>0.0153196649525049</v>
      </c>
    </row>
    <row r="1592" ht="14.25" customHeight="1" spans="2:4">
      <c r="B1592" s="137">
        <v>43889</v>
      </c>
      <c r="C1592" s="132">
        <v>11201.75</v>
      </c>
      <c r="D1592" s="135">
        <f t="shared" si="24"/>
        <v>-0.00615975182449169</v>
      </c>
    </row>
    <row r="1593" ht="14.25" customHeight="1" spans="2:4">
      <c r="B1593" s="137">
        <v>43888</v>
      </c>
      <c r="C1593" s="132">
        <v>11633.3</v>
      </c>
      <c r="D1593" s="135">
        <f t="shared" si="24"/>
        <v>-0.0370960948312172</v>
      </c>
    </row>
    <row r="1594" ht="14.25" customHeight="1" spans="2:4">
      <c r="B1594" s="137">
        <v>43887</v>
      </c>
      <c r="C1594" s="132">
        <v>11678.5</v>
      </c>
      <c r="D1594" s="135">
        <f t="shared" si="24"/>
        <v>-0.00387036006336439</v>
      </c>
    </row>
    <row r="1595" ht="14.25" customHeight="1" spans="2:4">
      <c r="B1595" s="137">
        <v>43886</v>
      </c>
      <c r="C1595" s="132">
        <v>11797.9</v>
      </c>
      <c r="D1595" s="135">
        <f t="shared" si="24"/>
        <v>-0.0101204451639698</v>
      </c>
    </row>
    <row r="1596" ht="14.25" customHeight="1" spans="2:4">
      <c r="B1596" s="137">
        <v>43885</v>
      </c>
      <c r="C1596" s="132">
        <v>11829.4</v>
      </c>
      <c r="D1596" s="135">
        <f t="shared" si="24"/>
        <v>-0.00266285694963397</v>
      </c>
    </row>
    <row r="1597" ht="14.25" customHeight="1" spans="2:4">
      <c r="B1597" s="137">
        <v>43881</v>
      </c>
      <c r="C1597" s="132">
        <v>12080.85</v>
      </c>
      <c r="D1597" s="135">
        <f t="shared" si="24"/>
        <v>-0.020813932794464</v>
      </c>
    </row>
    <row r="1598" ht="14.25" customHeight="1" spans="2:4">
      <c r="B1598" s="137">
        <v>43880</v>
      </c>
      <c r="C1598" s="132">
        <v>12125.9</v>
      </c>
      <c r="D1598" s="135">
        <f t="shared" si="24"/>
        <v>-0.0037151881509826</v>
      </c>
    </row>
    <row r="1599" ht="14.25" customHeight="1" spans="2:4">
      <c r="B1599" s="137">
        <v>43879</v>
      </c>
      <c r="C1599" s="132">
        <v>11992.5</v>
      </c>
      <c r="D1599" s="135">
        <f t="shared" si="24"/>
        <v>0.0111236189284969</v>
      </c>
    </row>
    <row r="1600" ht="14.25" customHeight="1" spans="2:4">
      <c r="B1600" s="137">
        <v>43878</v>
      </c>
      <c r="C1600" s="132">
        <v>12045.8</v>
      </c>
      <c r="D1600" s="135">
        <f t="shared" si="24"/>
        <v>-0.00442477876106184</v>
      </c>
    </row>
    <row r="1601" ht="14.25" customHeight="1" spans="2:4">
      <c r="B1601" s="137">
        <v>43875</v>
      </c>
      <c r="C1601" s="132">
        <v>12113.45</v>
      </c>
      <c r="D1601" s="135">
        <f t="shared" si="24"/>
        <v>-0.00558470130309707</v>
      </c>
    </row>
    <row r="1602" ht="14.25" customHeight="1" spans="2:4">
      <c r="B1602" s="137">
        <v>43874</v>
      </c>
      <c r="C1602" s="132">
        <v>12174.65</v>
      </c>
      <c r="D1602" s="135">
        <f t="shared" si="24"/>
        <v>-0.00502683855388031</v>
      </c>
    </row>
    <row r="1603" ht="14.25" customHeight="1" spans="2:4">
      <c r="B1603" s="137">
        <v>43873</v>
      </c>
      <c r="C1603" s="132">
        <v>12201.2</v>
      </c>
      <c r="D1603" s="135">
        <f t="shared" si="24"/>
        <v>-0.0021760154738879</v>
      </c>
    </row>
    <row r="1604" ht="14.25" customHeight="1" spans="2:4">
      <c r="B1604" s="137">
        <v>43872</v>
      </c>
      <c r="C1604" s="132">
        <v>12107.9</v>
      </c>
      <c r="D1604" s="135">
        <f t="shared" si="24"/>
        <v>0.00770571279908161</v>
      </c>
    </row>
    <row r="1605" ht="14.25" customHeight="1" spans="2:4">
      <c r="B1605" s="137">
        <v>43871</v>
      </c>
      <c r="C1605" s="132">
        <v>12031.5</v>
      </c>
      <c r="D1605" s="135">
        <f t="shared" si="24"/>
        <v>0.0063499979221211</v>
      </c>
    </row>
    <row r="1606" ht="14.25" customHeight="1" spans="2:4">
      <c r="B1606" s="137">
        <v>43868</v>
      </c>
      <c r="C1606" s="132">
        <v>12098.35</v>
      </c>
      <c r="D1606" s="135">
        <f t="shared" si="24"/>
        <v>-0.00552554687209417</v>
      </c>
    </row>
    <row r="1607" ht="14.25" customHeight="1" spans="2:4">
      <c r="B1607" s="137">
        <v>43867</v>
      </c>
      <c r="C1607" s="132">
        <v>12137.95</v>
      </c>
      <c r="D1607" s="135">
        <f t="shared" si="24"/>
        <v>-0.00326249490235175</v>
      </c>
    </row>
    <row r="1608" ht="14.25" customHeight="1" spans="2:4">
      <c r="B1608" s="137">
        <v>43866</v>
      </c>
      <c r="C1608" s="132">
        <v>12089.15</v>
      </c>
      <c r="D1608" s="135">
        <f t="shared" si="24"/>
        <v>0.00403667751661629</v>
      </c>
    </row>
    <row r="1609" ht="14.25" customHeight="1" spans="2:4">
      <c r="B1609" s="137">
        <v>43865</v>
      </c>
      <c r="C1609" s="132">
        <v>11979.65</v>
      </c>
      <c r="D1609" s="135">
        <f t="shared" ref="D1609:D1672" si="25">C1608/C1609-1</f>
        <v>0.00914050076588224</v>
      </c>
    </row>
    <row r="1610" ht="14.25" customHeight="1" spans="2:4">
      <c r="B1610" s="137">
        <v>43864</v>
      </c>
      <c r="C1610" s="132">
        <v>11707.9</v>
      </c>
      <c r="D1610" s="135">
        <f t="shared" si="25"/>
        <v>0.0232108234610819</v>
      </c>
    </row>
    <row r="1611" ht="14.25" customHeight="1" spans="2:4">
      <c r="B1611" s="137">
        <v>43862</v>
      </c>
      <c r="C1611" s="132">
        <v>11661.85</v>
      </c>
      <c r="D1611" s="135">
        <f t="shared" si="25"/>
        <v>0.00394877313633768</v>
      </c>
    </row>
    <row r="1612" ht="14.25" customHeight="1" spans="2:4">
      <c r="B1612" s="137">
        <v>43861</v>
      </c>
      <c r="C1612" s="132">
        <v>11962.1</v>
      </c>
      <c r="D1612" s="135">
        <f t="shared" si="25"/>
        <v>-0.0251001078405966</v>
      </c>
    </row>
    <row r="1613" ht="14.25" customHeight="1" spans="2:4">
      <c r="B1613" s="137">
        <v>43860</v>
      </c>
      <c r="C1613" s="132">
        <v>12035.8</v>
      </c>
      <c r="D1613" s="135">
        <f t="shared" si="25"/>
        <v>-0.00612339852772548</v>
      </c>
    </row>
    <row r="1614" ht="14.25" customHeight="1" spans="2:4">
      <c r="B1614" s="137">
        <v>43859</v>
      </c>
      <c r="C1614" s="132">
        <v>12129.5</v>
      </c>
      <c r="D1614" s="135">
        <f t="shared" si="25"/>
        <v>-0.00772496805309375</v>
      </c>
    </row>
    <row r="1615" ht="14.25" customHeight="1" spans="2:4">
      <c r="B1615" s="137">
        <v>43858</v>
      </c>
      <c r="C1615" s="132">
        <v>12055.8</v>
      </c>
      <c r="D1615" s="135">
        <f t="shared" si="25"/>
        <v>0.00611324010020087</v>
      </c>
    </row>
    <row r="1616" ht="14.25" customHeight="1" spans="2:4">
      <c r="B1616" s="137">
        <v>43857</v>
      </c>
      <c r="C1616" s="132">
        <v>12119</v>
      </c>
      <c r="D1616" s="135">
        <f t="shared" si="25"/>
        <v>-0.00521495172869058</v>
      </c>
    </row>
    <row r="1617" ht="14.25" customHeight="1" spans="2:4">
      <c r="B1617" s="137">
        <v>43854</v>
      </c>
      <c r="C1617" s="132">
        <v>12248.25</v>
      </c>
      <c r="D1617" s="135">
        <f t="shared" si="25"/>
        <v>-0.0105525279121507</v>
      </c>
    </row>
    <row r="1618" ht="14.25" customHeight="1" spans="2:4">
      <c r="B1618" s="137">
        <v>43853</v>
      </c>
      <c r="C1618" s="132">
        <v>12180.35</v>
      </c>
      <c r="D1618" s="135">
        <f t="shared" si="25"/>
        <v>0.00557455245538918</v>
      </c>
    </row>
    <row r="1619" ht="14.25" customHeight="1" spans="2:4">
      <c r="B1619" s="137">
        <v>43852</v>
      </c>
      <c r="C1619" s="132">
        <v>12106.9</v>
      </c>
      <c r="D1619" s="135">
        <f t="shared" si="25"/>
        <v>0.00606678836035646</v>
      </c>
    </row>
    <row r="1620" ht="14.25" customHeight="1" spans="2:4">
      <c r="B1620" s="137">
        <v>43851</v>
      </c>
      <c r="C1620" s="132">
        <v>12169.85</v>
      </c>
      <c r="D1620" s="135">
        <f t="shared" si="25"/>
        <v>-0.00517261921880718</v>
      </c>
    </row>
    <row r="1621" ht="14.25" customHeight="1" spans="2:4">
      <c r="B1621" s="137">
        <v>43850</v>
      </c>
      <c r="C1621" s="132">
        <v>12224.55</v>
      </c>
      <c r="D1621" s="135">
        <f t="shared" si="25"/>
        <v>-0.00447460233710029</v>
      </c>
    </row>
    <row r="1622" ht="14.25" customHeight="1" spans="2:4">
      <c r="B1622" s="137">
        <v>43847</v>
      </c>
      <c r="C1622" s="132">
        <v>12352.35</v>
      </c>
      <c r="D1622" s="135">
        <f t="shared" si="25"/>
        <v>-0.0103462094257369</v>
      </c>
    </row>
    <row r="1623" ht="14.25" customHeight="1" spans="2:4">
      <c r="B1623" s="137">
        <v>43846</v>
      </c>
      <c r="C1623" s="132">
        <v>12355.5</v>
      </c>
      <c r="D1623" s="135">
        <f t="shared" si="25"/>
        <v>-0.00025494718951069</v>
      </c>
    </row>
    <row r="1624" ht="14.25" customHeight="1" spans="2:4">
      <c r="B1624" s="137">
        <v>43845</v>
      </c>
      <c r="C1624" s="132">
        <v>12343.3</v>
      </c>
      <c r="D1624" s="135">
        <f t="shared" si="25"/>
        <v>0.00098839046284227</v>
      </c>
    </row>
    <row r="1625" ht="14.25" customHeight="1" spans="2:4">
      <c r="B1625" s="137">
        <v>43844</v>
      </c>
      <c r="C1625" s="132">
        <v>12362.3</v>
      </c>
      <c r="D1625" s="135">
        <f t="shared" si="25"/>
        <v>-0.00153693083002349</v>
      </c>
    </row>
    <row r="1626" ht="14.25" customHeight="1" spans="2:4">
      <c r="B1626" s="137">
        <v>43843</v>
      </c>
      <c r="C1626" s="132">
        <v>12329.55</v>
      </c>
      <c r="D1626" s="135">
        <f t="shared" si="25"/>
        <v>0.00265622021890488</v>
      </c>
    </row>
    <row r="1627" ht="14.25" customHeight="1" spans="2:4">
      <c r="B1627" s="137">
        <v>43840</v>
      </c>
      <c r="C1627" s="132">
        <v>12256.8</v>
      </c>
      <c r="D1627" s="135">
        <f t="shared" si="25"/>
        <v>0.00593548071274719</v>
      </c>
    </row>
    <row r="1628" ht="14.25" customHeight="1" spans="2:4">
      <c r="B1628" s="137">
        <v>43839</v>
      </c>
      <c r="C1628" s="132">
        <v>12215.9</v>
      </c>
      <c r="D1628" s="135">
        <f t="shared" si="25"/>
        <v>0.0033480955148617</v>
      </c>
    </row>
    <row r="1629" ht="14.25" customHeight="1" spans="2:4">
      <c r="B1629" s="137">
        <v>43838</v>
      </c>
      <c r="C1629" s="132">
        <v>12025.35</v>
      </c>
      <c r="D1629" s="135">
        <f t="shared" si="25"/>
        <v>0.0158456926409625</v>
      </c>
    </row>
    <row r="1630" ht="14.25" customHeight="1" spans="2:4">
      <c r="B1630" s="137">
        <v>43837</v>
      </c>
      <c r="C1630" s="132">
        <v>12052.95</v>
      </c>
      <c r="D1630" s="135">
        <f t="shared" si="25"/>
        <v>-0.00228989583462968</v>
      </c>
    </row>
    <row r="1631" ht="14.25" customHeight="1" spans="2:4">
      <c r="B1631" s="137">
        <v>43836</v>
      </c>
      <c r="C1631" s="132">
        <v>11993.05</v>
      </c>
      <c r="D1631" s="135">
        <f t="shared" si="25"/>
        <v>0.00499455934895643</v>
      </c>
    </row>
    <row r="1632" ht="14.25" customHeight="1" spans="2:4">
      <c r="B1632" s="137">
        <v>43833</v>
      </c>
      <c r="C1632" s="132">
        <v>12226.65</v>
      </c>
      <c r="D1632" s="135">
        <f t="shared" si="25"/>
        <v>-0.0191058057603678</v>
      </c>
    </row>
    <row r="1633" ht="14.25" customHeight="1" spans="2:4">
      <c r="B1633" s="137">
        <v>43832</v>
      </c>
      <c r="C1633" s="132">
        <v>12282.2</v>
      </c>
      <c r="D1633" s="135">
        <f t="shared" si="25"/>
        <v>-0.00452280536060323</v>
      </c>
    </row>
    <row r="1634" ht="14.25" customHeight="1" spans="2:4">
      <c r="B1634" s="137">
        <v>43831</v>
      </c>
      <c r="C1634" s="132">
        <v>12182.5</v>
      </c>
      <c r="D1634" s="135">
        <f t="shared" si="25"/>
        <v>0.00818387030576662</v>
      </c>
    </row>
    <row r="1635" ht="14.25" customHeight="1" spans="2:4">
      <c r="B1635" s="137">
        <v>43830</v>
      </c>
      <c r="C1635" s="132">
        <v>12168.45</v>
      </c>
      <c r="D1635" s="135">
        <f t="shared" si="25"/>
        <v>0.001154625280952</v>
      </c>
    </row>
    <row r="1636" ht="14.25" customHeight="1" spans="2:4">
      <c r="B1636" s="137">
        <v>43829</v>
      </c>
      <c r="C1636" s="132">
        <v>12255.85</v>
      </c>
      <c r="D1636" s="135">
        <f t="shared" si="25"/>
        <v>-0.00713128832353527</v>
      </c>
    </row>
    <row r="1637" ht="14.25" customHeight="1" spans="2:4">
      <c r="B1637" s="137">
        <v>43826</v>
      </c>
      <c r="C1637" s="132">
        <v>12245.8</v>
      </c>
      <c r="D1637" s="135">
        <f t="shared" si="25"/>
        <v>0.000820689542537112</v>
      </c>
    </row>
    <row r="1638" ht="14.25" customHeight="1" spans="2:4">
      <c r="B1638" s="137">
        <v>43825</v>
      </c>
      <c r="C1638" s="132">
        <v>12126.55</v>
      </c>
      <c r="D1638" s="135">
        <f t="shared" si="25"/>
        <v>0.00983379444277221</v>
      </c>
    </row>
    <row r="1639" ht="14.25" customHeight="1" spans="2:4">
      <c r="B1639" s="137">
        <v>43823</v>
      </c>
      <c r="C1639" s="132">
        <v>12214.55</v>
      </c>
      <c r="D1639" s="135">
        <f t="shared" si="25"/>
        <v>-0.00720452247524472</v>
      </c>
    </row>
    <row r="1640" ht="14.25" customHeight="1" spans="2:4">
      <c r="B1640" s="137">
        <v>43822</v>
      </c>
      <c r="C1640" s="132">
        <v>12262.75</v>
      </c>
      <c r="D1640" s="135">
        <f t="shared" si="25"/>
        <v>-0.00393060284194013</v>
      </c>
    </row>
    <row r="1641" ht="14.25" customHeight="1" spans="2:4">
      <c r="B1641" s="137">
        <v>43819</v>
      </c>
      <c r="C1641" s="132">
        <v>12271.8</v>
      </c>
      <c r="D1641" s="135">
        <f t="shared" si="25"/>
        <v>-0.00073746312684364</v>
      </c>
    </row>
    <row r="1642" ht="14.25" customHeight="1" spans="2:4">
      <c r="B1642" s="137">
        <v>43818</v>
      </c>
      <c r="C1642" s="132">
        <v>12259.7</v>
      </c>
      <c r="D1642" s="135">
        <f t="shared" si="25"/>
        <v>0.0009869735801038</v>
      </c>
    </row>
    <row r="1643" ht="14.25" customHeight="1" spans="2:4">
      <c r="B1643" s="137">
        <v>43817</v>
      </c>
      <c r="C1643" s="132">
        <v>12221.65</v>
      </c>
      <c r="D1643" s="135">
        <f t="shared" si="25"/>
        <v>0.00311332757851845</v>
      </c>
    </row>
    <row r="1644" ht="14.25" customHeight="1" spans="2:4">
      <c r="B1644" s="137">
        <v>43816</v>
      </c>
      <c r="C1644" s="132">
        <v>12165</v>
      </c>
      <c r="D1644" s="135">
        <f t="shared" si="25"/>
        <v>0.00465680230168508</v>
      </c>
    </row>
    <row r="1645" ht="14.25" customHeight="1" spans="2:4">
      <c r="B1645" s="137">
        <v>43815</v>
      </c>
      <c r="C1645" s="132">
        <v>12053.95</v>
      </c>
      <c r="D1645" s="135">
        <f t="shared" si="25"/>
        <v>0.00921274768851688</v>
      </c>
    </row>
    <row r="1646" ht="14.25" customHeight="1" spans="2:4">
      <c r="B1646" s="137">
        <v>43812</v>
      </c>
      <c r="C1646" s="132">
        <v>12086.7</v>
      </c>
      <c r="D1646" s="135">
        <f t="shared" si="25"/>
        <v>-0.0027095898797852</v>
      </c>
    </row>
    <row r="1647" ht="14.25" customHeight="1" spans="2:4">
      <c r="B1647" s="137">
        <v>43811</v>
      </c>
      <c r="C1647" s="132">
        <v>11971.8</v>
      </c>
      <c r="D1647" s="135">
        <f t="shared" si="25"/>
        <v>0.00959755425249353</v>
      </c>
    </row>
    <row r="1648" ht="14.25" customHeight="1" spans="2:4">
      <c r="B1648" s="137">
        <v>43810</v>
      </c>
      <c r="C1648" s="132">
        <v>11910.15</v>
      </c>
      <c r="D1648" s="135">
        <f t="shared" si="25"/>
        <v>0.00517625722597947</v>
      </c>
    </row>
    <row r="1649" ht="14.25" customHeight="1" spans="2:4">
      <c r="B1649" s="137">
        <v>43809</v>
      </c>
      <c r="C1649" s="132">
        <v>11856.8</v>
      </c>
      <c r="D1649" s="135">
        <f t="shared" si="25"/>
        <v>0.00449952769718642</v>
      </c>
    </row>
    <row r="1650" ht="14.25" customHeight="1" spans="2:4">
      <c r="B1650" s="137">
        <v>43808</v>
      </c>
      <c r="C1650" s="132">
        <v>11937.5</v>
      </c>
      <c r="D1650" s="135">
        <f t="shared" si="25"/>
        <v>-0.00676020942408384</v>
      </c>
    </row>
    <row r="1651" ht="14.25" customHeight="1" spans="2:4">
      <c r="B1651" s="137">
        <v>43805</v>
      </c>
      <c r="C1651" s="132">
        <v>11921.5</v>
      </c>
      <c r="D1651" s="135">
        <f t="shared" si="25"/>
        <v>0.00134211298913733</v>
      </c>
    </row>
    <row r="1652" ht="14.25" customHeight="1" spans="2:4">
      <c r="B1652" s="137">
        <v>43804</v>
      </c>
      <c r="C1652" s="132">
        <v>12018.4</v>
      </c>
      <c r="D1652" s="135">
        <f t="shared" si="25"/>
        <v>-0.00806263728948942</v>
      </c>
    </row>
    <row r="1653" ht="14.25" customHeight="1" spans="2:4">
      <c r="B1653" s="137">
        <v>43803</v>
      </c>
      <c r="C1653" s="132">
        <v>12043.2</v>
      </c>
      <c r="D1653" s="135">
        <f t="shared" si="25"/>
        <v>-0.00205925335459023</v>
      </c>
    </row>
    <row r="1654" ht="14.25" customHeight="1" spans="2:4">
      <c r="B1654" s="137">
        <v>43802</v>
      </c>
      <c r="C1654" s="132">
        <v>11994.2</v>
      </c>
      <c r="D1654" s="135">
        <f t="shared" si="25"/>
        <v>0.00408530789881767</v>
      </c>
    </row>
    <row r="1655" ht="14.25" customHeight="1" spans="2:4">
      <c r="B1655" s="137">
        <v>43801</v>
      </c>
      <c r="C1655" s="132">
        <v>12048.2</v>
      </c>
      <c r="D1655" s="135">
        <f t="shared" si="25"/>
        <v>-0.00448199731080157</v>
      </c>
    </row>
    <row r="1656" ht="14.25" customHeight="1" spans="2:4">
      <c r="B1656" s="137">
        <v>43798</v>
      </c>
      <c r="C1656" s="132">
        <v>12056.05</v>
      </c>
      <c r="D1656" s="135">
        <f t="shared" si="25"/>
        <v>-0.000651125368590799</v>
      </c>
    </row>
    <row r="1657" ht="14.25" customHeight="1" spans="2:4">
      <c r="B1657" s="137">
        <v>43797</v>
      </c>
      <c r="C1657" s="132">
        <v>12151.15</v>
      </c>
      <c r="D1657" s="135">
        <f t="shared" si="25"/>
        <v>-0.00782641972159015</v>
      </c>
    </row>
    <row r="1658" ht="14.25" customHeight="1" spans="2:4">
      <c r="B1658" s="137">
        <v>43796</v>
      </c>
      <c r="C1658" s="132">
        <v>12100.7</v>
      </c>
      <c r="D1658" s="135">
        <f t="shared" si="25"/>
        <v>0.00416918029535474</v>
      </c>
    </row>
    <row r="1659" ht="14.25" customHeight="1" spans="2:4">
      <c r="B1659" s="137">
        <v>43795</v>
      </c>
      <c r="C1659" s="132">
        <v>12037.7</v>
      </c>
      <c r="D1659" s="135">
        <f t="shared" si="25"/>
        <v>0.00523355790558</v>
      </c>
    </row>
    <row r="1660" ht="14.25" customHeight="1" spans="2:4">
      <c r="B1660" s="137">
        <v>43794</v>
      </c>
      <c r="C1660" s="132">
        <v>12073.75</v>
      </c>
      <c r="D1660" s="135">
        <f t="shared" si="25"/>
        <v>-0.00298581633709483</v>
      </c>
    </row>
    <row r="1661" ht="14.25" customHeight="1" spans="2:4">
      <c r="B1661" s="137">
        <v>43791</v>
      </c>
      <c r="C1661" s="132">
        <v>11914.4</v>
      </c>
      <c r="D1661" s="135">
        <f t="shared" si="25"/>
        <v>0.0133745719465521</v>
      </c>
    </row>
    <row r="1662" ht="14.25" customHeight="1" spans="2:4">
      <c r="B1662" s="137">
        <v>43790</v>
      </c>
      <c r="C1662" s="132">
        <v>11968.4</v>
      </c>
      <c r="D1662" s="135">
        <f t="shared" si="25"/>
        <v>-0.00451188128739011</v>
      </c>
    </row>
    <row r="1663" ht="14.25" customHeight="1" spans="2:4">
      <c r="B1663" s="137">
        <v>43789</v>
      </c>
      <c r="C1663" s="132">
        <v>11999.1</v>
      </c>
      <c r="D1663" s="135">
        <f t="shared" si="25"/>
        <v>-0.00255852522272515</v>
      </c>
    </row>
    <row r="1664" ht="14.25" customHeight="1" spans="2:4">
      <c r="B1664" s="137">
        <v>43788</v>
      </c>
      <c r="C1664" s="132">
        <v>11940.1</v>
      </c>
      <c r="D1664" s="135">
        <f t="shared" si="25"/>
        <v>0.00494133214964698</v>
      </c>
    </row>
    <row r="1665" ht="14.25" customHeight="1" spans="2:4">
      <c r="B1665" s="137">
        <v>43787</v>
      </c>
      <c r="C1665" s="132">
        <v>11884.5</v>
      </c>
      <c r="D1665" s="135">
        <f t="shared" si="25"/>
        <v>0.0046783625730995</v>
      </c>
    </row>
    <row r="1666" ht="14.25" customHeight="1" spans="2:4">
      <c r="B1666" s="137">
        <v>43784</v>
      </c>
      <c r="C1666" s="132">
        <v>11895.45</v>
      </c>
      <c r="D1666" s="135">
        <f t="shared" si="25"/>
        <v>-0.000920520030768146</v>
      </c>
    </row>
    <row r="1667" ht="14.25" customHeight="1" spans="2:4">
      <c r="B1667" s="137">
        <v>43783</v>
      </c>
      <c r="C1667" s="132">
        <v>11872.1</v>
      </c>
      <c r="D1667" s="135">
        <f t="shared" si="25"/>
        <v>0.00196679610178485</v>
      </c>
    </row>
    <row r="1668" ht="14.25" customHeight="1" spans="2:4">
      <c r="B1668" s="137">
        <v>43782</v>
      </c>
      <c r="C1668" s="132">
        <v>11840.45</v>
      </c>
      <c r="D1668" s="135">
        <f t="shared" si="25"/>
        <v>0.00267304029829951</v>
      </c>
    </row>
    <row r="1669" ht="14.25" customHeight="1" spans="2:4">
      <c r="B1669" s="137">
        <v>43780</v>
      </c>
      <c r="C1669" s="132">
        <v>11913.45</v>
      </c>
      <c r="D1669" s="135">
        <f t="shared" si="25"/>
        <v>-0.00612752812997075</v>
      </c>
    </row>
    <row r="1670" ht="14.25" customHeight="1" spans="2:4">
      <c r="B1670" s="137">
        <v>43777</v>
      </c>
      <c r="C1670" s="132">
        <v>11908.15</v>
      </c>
      <c r="D1670" s="135">
        <f t="shared" si="25"/>
        <v>0.000445073332129731</v>
      </c>
    </row>
    <row r="1671" ht="14.25" customHeight="1" spans="2:4">
      <c r="B1671" s="137">
        <v>43776</v>
      </c>
      <c r="C1671" s="132">
        <v>12012.05</v>
      </c>
      <c r="D1671" s="135">
        <f t="shared" si="25"/>
        <v>-0.00864964764548926</v>
      </c>
    </row>
    <row r="1672" ht="14.25" customHeight="1" spans="2:4">
      <c r="B1672" s="137">
        <v>43775</v>
      </c>
      <c r="C1672" s="132">
        <v>11966.05</v>
      </c>
      <c r="D1672" s="135">
        <f t="shared" si="25"/>
        <v>0.00384420924198037</v>
      </c>
    </row>
    <row r="1673" ht="14.25" customHeight="1" spans="2:4">
      <c r="B1673" s="137">
        <v>43774</v>
      </c>
      <c r="C1673" s="132">
        <v>11917.2</v>
      </c>
      <c r="D1673" s="135">
        <f t="shared" ref="D1673:D1736" si="26">C1672/C1673-1</f>
        <v>0.00409911724230505</v>
      </c>
    </row>
    <row r="1674" ht="14.25" customHeight="1" spans="2:4">
      <c r="B1674" s="137">
        <v>43773</v>
      </c>
      <c r="C1674" s="132">
        <v>11941.3</v>
      </c>
      <c r="D1674" s="135">
        <f t="shared" si="26"/>
        <v>-0.00201820572299483</v>
      </c>
    </row>
    <row r="1675" ht="14.25" customHeight="1" spans="2:4">
      <c r="B1675" s="137">
        <v>43770</v>
      </c>
      <c r="C1675" s="132">
        <v>11890.6</v>
      </c>
      <c r="D1675" s="135">
        <f t="shared" si="26"/>
        <v>0.00426387230249103</v>
      </c>
    </row>
    <row r="1676" ht="14.25" customHeight="1" spans="2:4">
      <c r="B1676" s="137">
        <v>43769</v>
      </c>
      <c r="C1676" s="132">
        <v>11877.45</v>
      </c>
      <c r="D1676" s="135">
        <f t="shared" si="26"/>
        <v>0.00110714000058931</v>
      </c>
    </row>
    <row r="1677" ht="14.25" customHeight="1" spans="2:4">
      <c r="B1677" s="137">
        <v>43768</v>
      </c>
      <c r="C1677" s="132">
        <v>11844.1</v>
      </c>
      <c r="D1677" s="135">
        <f t="shared" si="26"/>
        <v>0.0028157479251274</v>
      </c>
    </row>
    <row r="1678" ht="14.25" customHeight="1" spans="2:4">
      <c r="B1678" s="137">
        <v>43767</v>
      </c>
      <c r="C1678" s="132">
        <v>11786.85</v>
      </c>
      <c r="D1678" s="135">
        <f t="shared" si="26"/>
        <v>0.00485710770901471</v>
      </c>
    </row>
    <row r="1679" ht="14.25" customHeight="1" spans="2:4">
      <c r="B1679" s="137">
        <v>43765</v>
      </c>
      <c r="C1679" s="132">
        <v>11627.15</v>
      </c>
      <c r="D1679" s="135">
        <f t="shared" si="26"/>
        <v>0.0137350941546295</v>
      </c>
    </row>
    <row r="1680" ht="14.25" customHeight="1" spans="2:4">
      <c r="B1680" s="137">
        <v>43763</v>
      </c>
      <c r="C1680" s="132">
        <v>11583.9</v>
      </c>
      <c r="D1680" s="135">
        <f t="shared" si="26"/>
        <v>0.00373363029722285</v>
      </c>
    </row>
    <row r="1681" ht="14.25" customHeight="1" spans="2:4">
      <c r="B1681" s="137">
        <v>43762</v>
      </c>
      <c r="C1681" s="132">
        <v>11582.6</v>
      </c>
      <c r="D1681" s="135">
        <f t="shared" si="26"/>
        <v>0.000112237321499453</v>
      </c>
    </row>
    <row r="1682" ht="14.25" customHeight="1" spans="2:4">
      <c r="B1682" s="137">
        <v>43761</v>
      </c>
      <c r="C1682" s="132">
        <v>11604.1</v>
      </c>
      <c r="D1682" s="135">
        <f t="shared" si="26"/>
        <v>-0.00185279340922606</v>
      </c>
    </row>
    <row r="1683" ht="14.25" customHeight="1" spans="2:4">
      <c r="B1683" s="137">
        <v>43760</v>
      </c>
      <c r="C1683" s="132">
        <v>11588.35</v>
      </c>
      <c r="D1683" s="135">
        <f t="shared" si="26"/>
        <v>0.00135912360258361</v>
      </c>
    </row>
    <row r="1684" ht="14.25" customHeight="1" spans="2:4">
      <c r="B1684" s="137">
        <v>43756</v>
      </c>
      <c r="C1684" s="132">
        <v>11661.85</v>
      </c>
      <c r="D1684" s="135">
        <f t="shared" si="26"/>
        <v>-0.0063026020742849</v>
      </c>
    </row>
    <row r="1685" ht="14.25" customHeight="1" spans="2:4">
      <c r="B1685" s="137">
        <v>43755</v>
      </c>
      <c r="C1685" s="132">
        <v>11586.35</v>
      </c>
      <c r="D1685" s="135">
        <f t="shared" si="26"/>
        <v>0.00651628856369779</v>
      </c>
    </row>
    <row r="1686" ht="14.25" customHeight="1" spans="2:4">
      <c r="B1686" s="137">
        <v>43754</v>
      </c>
      <c r="C1686" s="132">
        <v>11464</v>
      </c>
      <c r="D1686" s="135">
        <f t="shared" si="26"/>
        <v>0.0106725401256107</v>
      </c>
    </row>
    <row r="1687" ht="14.25" customHeight="1" spans="2:4">
      <c r="B1687" s="137">
        <v>43753</v>
      </c>
      <c r="C1687" s="132">
        <v>11428.3</v>
      </c>
      <c r="D1687" s="135">
        <f t="shared" si="26"/>
        <v>0.00312382419082469</v>
      </c>
    </row>
    <row r="1688" ht="14.25" customHeight="1" spans="2:4">
      <c r="B1688" s="137">
        <v>43752</v>
      </c>
      <c r="C1688" s="132">
        <v>11341.15</v>
      </c>
      <c r="D1688" s="135">
        <f t="shared" si="26"/>
        <v>0.00768440590239972</v>
      </c>
    </row>
    <row r="1689" ht="14.25" customHeight="1" spans="2:4">
      <c r="B1689" s="137">
        <v>43749</v>
      </c>
      <c r="C1689" s="132">
        <v>11305.05</v>
      </c>
      <c r="D1689" s="135">
        <f t="shared" si="26"/>
        <v>0.00319326318769053</v>
      </c>
    </row>
    <row r="1690" ht="14.25" customHeight="1" spans="2:4">
      <c r="B1690" s="137">
        <v>43748</v>
      </c>
      <c r="C1690" s="132">
        <v>11234.55</v>
      </c>
      <c r="D1690" s="135">
        <f t="shared" si="26"/>
        <v>0.00627528472435479</v>
      </c>
    </row>
    <row r="1691" ht="14.25" customHeight="1" spans="2:4">
      <c r="B1691" s="137">
        <v>43747</v>
      </c>
      <c r="C1691" s="132">
        <v>11313.3</v>
      </c>
      <c r="D1691" s="135">
        <f t="shared" si="26"/>
        <v>-0.00696083370899736</v>
      </c>
    </row>
    <row r="1692" ht="14.25" customHeight="1" spans="2:4">
      <c r="B1692" s="137">
        <v>43745</v>
      </c>
      <c r="C1692" s="132">
        <v>11126.4</v>
      </c>
      <c r="D1692" s="135">
        <f t="shared" si="26"/>
        <v>0.0167978861087144</v>
      </c>
    </row>
    <row r="1693" ht="14.25" customHeight="1" spans="2:4">
      <c r="B1693" s="137">
        <v>43742</v>
      </c>
      <c r="C1693" s="132">
        <v>11174.75</v>
      </c>
      <c r="D1693" s="135">
        <f t="shared" si="26"/>
        <v>-0.00432671871853962</v>
      </c>
    </row>
    <row r="1694" ht="14.25" customHeight="1" spans="2:4">
      <c r="B1694" s="137">
        <v>43741</v>
      </c>
      <c r="C1694" s="132">
        <v>11314</v>
      </c>
      <c r="D1694" s="135">
        <f t="shared" si="26"/>
        <v>-0.0123077602969772</v>
      </c>
    </row>
    <row r="1695" ht="14.25" customHeight="1" spans="2:4">
      <c r="B1695" s="137">
        <v>43739</v>
      </c>
      <c r="C1695" s="132">
        <v>11359.9</v>
      </c>
      <c r="D1695" s="135">
        <f t="shared" si="26"/>
        <v>-0.0040405285257793</v>
      </c>
    </row>
    <row r="1696" ht="14.25" customHeight="1" spans="2:4">
      <c r="B1696" s="137">
        <v>43738</v>
      </c>
      <c r="C1696" s="132">
        <v>11474.45</v>
      </c>
      <c r="D1696" s="135">
        <f t="shared" si="26"/>
        <v>-0.00998304929648053</v>
      </c>
    </row>
    <row r="1697" ht="14.25" customHeight="1" spans="2:4">
      <c r="B1697" s="137">
        <v>43735</v>
      </c>
      <c r="C1697" s="132">
        <v>11512.4</v>
      </c>
      <c r="D1697" s="135">
        <f t="shared" si="26"/>
        <v>-0.00329644557173125</v>
      </c>
    </row>
    <row r="1698" ht="14.25" customHeight="1" spans="2:4">
      <c r="B1698" s="137">
        <v>43734</v>
      </c>
      <c r="C1698" s="132">
        <v>11571.2</v>
      </c>
      <c r="D1698" s="135">
        <f t="shared" si="26"/>
        <v>-0.00508158185840712</v>
      </c>
    </row>
    <row r="1699" ht="14.25" customHeight="1" spans="2:4">
      <c r="B1699" s="137">
        <v>43733</v>
      </c>
      <c r="C1699" s="132">
        <v>11440.2</v>
      </c>
      <c r="D1699" s="135">
        <f t="shared" si="26"/>
        <v>0.0114508487613854</v>
      </c>
    </row>
    <row r="1700" ht="14.25" customHeight="1" spans="2:4">
      <c r="B1700" s="137">
        <v>43732</v>
      </c>
      <c r="C1700" s="132">
        <v>11588.2</v>
      </c>
      <c r="D1700" s="135">
        <f t="shared" si="26"/>
        <v>-0.0127716125023731</v>
      </c>
    </row>
    <row r="1701" ht="14.25" customHeight="1" spans="2:4">
      <c r="B1701" s="137">
        <v>43731</v>
      </c>
      <c r="C1701" s="132">
        <v>11600.2</v>
      </c>
      <c r="D1701" s="135">
        <f t="shared" si="26"/>
        <v>-0.00103446492301862</v>
      </c>
    </row>
    <row r="1702" ht="14.25" customHeight="1" spans="2:4">
      <c r="B1702" s="137">
        <v>43728</v>
      </c>
      <c r="C1702" s="132">
        <v>11274.2</v>
      </c>
      <c r="D1702" s="135">
        <f t="shared" si="26"/>
        <v>0.0289155771584679</v>
      </c>
    </row>
    <row r="1703" ht="14.25" customHeight="1" spans="2:4">
      <c r="B1703" s="137">
        <v>43727</v>
      </c>
      <c r="C1703" s="132">
        <v>10704.8</v>
      </c>
      <c r="D1703" s="135">
        <f t="shared" si="26"/>
        <v>0.0531910918466483</v>
      </c>
    </row>
    <row r="1704" ht="14.25" customHeight="1" spans="2:4">
      <c r="B1704" s="137">
        <v>43726</v>
      </c>
      <c r="C1704" s="132">
        <v>10840.65</v>
      </c>
      <c r="D1704" s="135">
        <f t="shared" si="26"/>
        <v>-0.012531536393113</v>
      </c>
    </row>
    <row r="1705" ht="14.25" customHeight="1" spans="2:4">
      <c r="B1705" s="137">
        <v>43725</v>
      </c>
      <c r="C1705" s="132">
        <v>10817.6</v>
      </c>
      <c r="D1705" s="135">
        <f t="shared" si="26"/>
        <v>0.00213078686584822</v>
      </c>
    </row>
    <row r="1706" ht="14.25" customHeight="1" spans="2:4">
      <c r="B1706" s="137">
        <v>43724</v>
      </c>
      <c r="C1706" s="132">
        <v>11003.5</v>
      </c>
      <c r="D1706" s="135">
        <f t="shared" si="26"/>
        <v>-0.0168946244376789</v>
      </c>
    </row>
    <row r="1707" ht="14.25" customHeight="1" spans="2:4">
      <c r="B1707" s="137">
        <v>43721</v>
      </c>
      <c r="C1707" s="132">
        <v>11075.9</v>
      </c>
      <c r="D1707" s="135">
        <f t="shared" si="26"/>
        <v>-0.00653671484935758</v>
      </c>
    </row>
    <row r="1708" ht="14.25" customHeight="1" spans="2:4">
      <c r="B1708" s="137">
        <v>43720</v>
      </c>
      <c r="C1708" s="132">
        <v>10982.8</v>
      </c>
      <c r="D1708" s="135">
        <f t="shared" si="26"/>
        <v>0.00847689113887173</v>
      </c>
    </row>
    <row r="1709" ht="14.25" customHeight="1" spans="2:4">
      <c r="B1709" s="137">
        <v>43719</v>
      </c>
      <c r="C1709" s="132">
        <v>11035.7</v>
      </c>
      <c r="D1709" s="135">
        <f t="shared" si="26"/>
        <v>-0.00479353371331237</v>
      </c>
    </row>
    <row r="1710" ht="14.25" customHeight="1" spans="2:4">
      <c r="B1710" s="137">
        <v>43717</v>
      </c>
      <c r="C1710" s="132">
        <v>11003.05</v>
      </c>
      <c r="D1710" s="135">
        <f t="shared" si="26"/>
        <v>0.00296735905044532</v>
      </c>
    </row>
    <row r="1711" ht="14.25" customHeight="1" spans="2:4">
      <c r="B1711" s="137">
        <v>43714</v>
      </c>
      <c r="C1711" s="132">
        <v>10946.2</v>
      </c>
      <c r="D1711" s="135">
        <f t="shared" si="26"/>
        <v>0.00519358316127949</v>
      </c>
    </row>
    <row r="1712" ht="14.25" customHeight="1" spans="2:4">
      <c r="B1712" s="137">
        <v>43713</v>
      </c>
      <c r="C1712" s="132">
        <v>10847.9</v>
      </c>
      <c r="D1712" s="135">
        <f t="shared" si="26"/>
        <v>0.00906166170410883</v>
      </c>
    </row>
    <row r="1713" ht="14.25" customHeight="1" spans="2:4">
      <c r="B1713" s="137">
        <v>43712</v>
      </c>
      <c r="C1713" s="132">
        <v>10844.65</v>
      </c>
      <c r="D1713" s="135">
        <f t="shared" si="26"/>
        <v>0.000299686942409449</v>
      </c>
    </row>
    <row r="1714" ht="14.25" customHeight="1" spans="2:4">
      <c r="B1714" s="137">
        <v>43711</v>
      </c>
      <c r="C1714" s="132">
        <v>10797.9</v>
      </c>
      <c r="D1714" s="135">
        <f t="shared" si="26"/>
        <v>0.00432954555978471</v>
      </c>
    </row>
    <row r="1715" ht="14.25" customHeight="1" spans="2:4">
      <c r="B1715" s="137">
        <v>43707</v>
      </c>
      <c r="C1715" s="132">
        <v>11023.25</v>
      </c>
      <c r="D1715" s="135">
        <f t="shared" si="26"/>
        <v>-0.02044315424217</v>
      </c>
    </row>
    <row r="1716" ht="14.25" customHeight="1" spans="2:4">
      <c r="B1716" s="137">
        <v>43706</v>
      </c>
      <c r="C1716" s="132">
        <v>10948.3</v>
      </c>
      <c r="D1716" s="135">
        <f t="shared" si="26"/>
        <v>0.00684581167852549</v>
      </c>
    </row>
    <row r="1717" ht="14.25" customHeight="1" spans="2:4">
      <c r="B1717" s="137">
        <v>43705</v>
      </c>
      <c r="C1717" s="132">
        <v>11046.1</v>
      </c>
      <c r="D1717" s="135">
        <f t="shared" si="26"/>
        <v>-0.0088538036048923</v>
      </c>
    </row>
    <row r="1718" ht="14.25" customHeight="1" spans="2:4">
      <c r="B1718" s="137">
        <v>43704</v>
      </c>
      <c r="C1718" s="132">
        <v>11105.35</v>
      </c>
      <c r="D1718" s="135">
        <f t="shared" si="26"/>
        <v>-0.005335266335595</v>
      </c>
    </row>
    <row r="1719" ht="14.25" customHeight="1" spans="2:4">
      <c r="B1719" s="137">
        <v>43703</v>
      </c>
      <c r="C1719" s="132">
        <v>11057.85</v>
      </c>
      <c r="D1719" s="135">
        <f t="shared" si="26"/>
        <v>0.00429559091505127</v>
      </c>
    </row>
    <row r="1720" ht="14.25" customHeight="1" spans="2:4">
      <c r="B1720" s="137">
        <v>43700</v>
      </c>
      <c r="C1720" s="132">
        <v>10829.35</v>
      </c>
      <c r="D1720" s="135">
        <f t="shared" si="26"/>
        <v>0.0211000660242766</v>
      </c>
    </row>
    <row r="1721" ht="14.25" customHeight="1" spans="2:4">
      <c r="B1721" s="137">
        <v>43699</v>
      </c>
      <c r="C1721" s="132">
        <v>10741.35</v>
      </c>
      <c r="D1721" s="135">
        <f t="shared" si="26"/>
        <v>0.00819263872790654</v>
      </c>
    </row>
    <row r="1722" ht="14.25" customHeight="1" spans="2:4">
      <c r="B1722" s="137">
        <v>43698</v>
      </c>
      <c r="C1722" s="132">
        <v>10918.7</v>
      </c>
      <c r="D1722" s="135">
        <f t="shared" si="26"/>
        <v>-0.0162427761546705</v>
      </c>
    </row>
    <row r="1723" ht="14.25" customHeight="1" spans="2:4">
      <c r="B1723" s="137">
        <v>43697</v>
      </c>
      <c r="C1723" s="132">
        <v>11017</v>
      </c>
      <c r="D1723" s="135">
        <f t="shared" si="26"/>
        <v>-0.00892257420350362</v>
      </c>
    </row>
    <row r="1724" ht="14.25" customHeight="1" spans="2:4">
      <c r="B1724" s="137">
        <v>43696</v>
      </c>
      <c r="C1724" s="132">
        <v>11053.9</v>
      </c>
      <c r="D1724" s="135">
        <f t="shared" si="26"/>
        <v>-0.00333818833171995</v>
      </c>
    </row>
    <row r="1725" ht="14.25" customHeight="1" spans="2:4">
      <c r="B1725" s="137">
        <v>43693</v>
      </c>
      <c r="C1725" s="132">
        <v>11047.8</v>
      </c>
      <c r="D1725" s="135">
        <f t="shared" si="26"/>
        <v>0.000552146128641073</v>
      </c>
    </row>
    <row r="1726" ht="14.25" customHeight="1" spans="2:4">
      <c r="B1726" s="137">
        <v>43691</v>
      </c>
      <c r="C1726" s="132">
        <v>11029.4</v>
      </c>
      <c r="D1726" s="135">
        <f t="shared" si="26"/>
        <v>0.00166826844615309</v>
      </c>
    </row>
    <row r="1727" ht="14.25" customHeight="1" spans="2:4">
      <c r="B1727" s="137">
        <v>43690</v>
      </c>
      <c r="C1727" s="132">
        <v>10925.85</v>
      </c>
      <c r="D1727" s="135">
        <f t="shared" si="26"/>
        <v>0.00947752348787501</v>
      </c>
    </row>
    <row r="1728" ht="14.25" customHeight="1" spans="2:4">
      <c r="B1728" s="137">
        <v>43686</v>
      </c>
      <c r="C1728" s="132">
        <v>11109.65</v>
      </c>
      <c r="D1728" s="135">
        <f t="shared" si="26"/>
        <v>-0.0165441755590859</v>
      </c>
    </row>
    <row r="1729" ht="14.25" customHeight="1" spans="2:4">
      <c r="B1729" s="137">
        <v>43685</v>
      </c>
      <c r="C1729" s="132">
        <v>11032.45</v>
      </c>
      <c r="D1729" s="135">
        <f t="shared" si="26"/>
        <v>0.00699753907790202</v>
      </c>
    </row>
    <row r="1730" ht="14.25" customHeight="1" spans="2:4">
      <c r="B1730" s="137">
        <v>43684</v>
      </c>
      <c r="C1730" s="132">
        <v>10855.5</v>
      </c>
      <c r="D1730" s="135">
        <f t="shared" si="26"/>
        <v>0.0163004928377322</v>
      </c>
    </row>
    <row r="1731" ht="14.25" customHeight="1" spans="2:4">
      <c r="B1731" s="137">
        <v>43683</v>
      </c>
      <c r="C1731" s="132">
        <v>10948.25</v>
      </c>
      <c r="D1731" s="135">
        <f t="shared" si="26"/>
        <v>-0.00847167355513434</v>
      </c>
    </row>
    <row r="1732" ht="14.25" customHeight="1" spans="2:4">
      <c r="B1732" s="137">
        <v>43682</v>
      </c>
      <c r="C1732" s="132">
        <v>10862.6</v>
      </c>
      <c r="D1732" s="135">
        <f t="shared" si="26"/>
        <v>0.00788485261355465</v>
      </c>
    </row>
    <row r="1733" ht="14.25" customHeight="1" spans="2:4">
      <c r="B1733" s="137">
        <v>43679</v>
      </c>
      <c r="C1733" s="132">
        <v>10997.35</v>
      </c>
      <c r="D1733" s="135">
        <f t="shared" si="26"/>
        <v>-0.0122529518474905</v>
      </c>
    </row>
    <row r="1734" ht="14.25" customHeight="1" spans="2:4">
      <c r="B1734" s="137">
        <v>43678</v>
      </c>
      <c r="C1734" s="132">
        <v>10980</v>
      </c>
      <c r="D1734" s="135">
        <f t="shared" si="26"/>
        <v>0.00158014571948994</v>
      </c>
    </row>
    <row r="1735" ht="14.25" customHeight="1" spans="2:4">
      <c r="B1735" s="137">
        <v>43677</v>
      </c>
      <c r="C1735" s="132">
        <v>11118</v>
      </c>
      <c r="D1735" s="135">
        <f t="shared" si="26"/>
        <v>-0.0124123043712898</v>
      </c>
    </row>
    <row r="1736" ht="14.25" customHeight="1" spans="2:4">
      <c r="B1736" s="137">
        <v>43676</v>
      </c>
      <c r="C1736" s="132">
        <v>11085.4</v>
      </c>
      <c r="D1736" s="135">
        <f t="shared" si="26"/>
        <v>0.00294080502282279</v>
      </c>
    </row>
    <row r="1737" ht="14.25" customHeight="1" spans="2:4">
      <c r="B1737" s="137">
        <v>43675</v>
      </c>
      <c r="C1737" s="132">
        <v>11189.2</v>
      </c>
      <c r="D1737" s="135">
        <f t="shared" ref="D1737:D1800" si="27">C1736/C1737-1</f>
        <v>-0.00927680263110864</v>
      </c>
    </row>
    <row r="1738" ht="14.25" customHeight="1" spans="2:4">
      <c r="B1738" s="137">
        <v>43672</v>
      </c>
      <c r="C1738" s="132">
        <v>11284.3</v>
      </c>
      <c r="D1738" s="135">
        <f t="shared" si="27"/>
        <v>-0.00842763840025507</v>
      </c>
    </row>
    <row r="1739" ht="14.25" customHeight="1" spans="2:4">
      <c r="B1739" s="137">
        <v>43671</v>
      </c>
      <c r="C1739" s="132">
        <v>11252.15</v>
      </c>
      <c r="D1739" s="135">
        <f t="shared" si="27"/>
        <v>0.00285723172904739</v>
      </c>
    </row>
    <row r="1740" ht="14.25" customHeight="1" spans="2:4">
      <c r="B1740" s="137">
        <v>43670</v>
      </c>
      <c r="C1740" s="132">
        <v>11271.3</v>
      </c>
      <c r="D1740" s="135">
        <f t="shared" si="27"/>
        <v>-0.00169900543859181</v>
      </c>
    </row>
    <row r="1741" ht="14.25" customHeight="1" spans="2:4">
      <c r="B1741" s="137">
        <v>43669</v>
      </c>
      <c r="C1741" s="132">
        <v>11331.05</v>
      </c>
      <c r="D1741" s="135">
        <f t="shared" si="27"/>
        <v>-0.0052731212023599</v>
      </c>
    </row>
    <row r="1742" ht="14.25" customHeight="1" spans="2:4">
      <c r="B1742" s="137">
        <v>43668</v>
      </c>
      <c r="C1742" s="132">
        <v>11346.2</v>
      </c>
      <c r="D1742" s="135">
        <f t="shared" si="27"/>
        <v>-0.00133524880576774</v>
      </c>
    </row>
    <row r="1743" ht="14.25" customHeight="1" spans="2:4">
      <c r="B1743" s="137">
        <v>43665</v>
      </c>
      <c r="C1743" s="132">
        <v>11419.25</v>
      </c>
      <c r="D1743" s="135">
        <f t="shared" si="27"/>
        <v>-0.00639709262867516</v>
      </c>
    </row>
    <row r="1744" ht="14.25" customHeight="1" spans="2:4">
      <c r="B1744" s="137">
        <v>43664</v>
      </c>
      <c r="C1744" s="132">
        <v>11596.9</v>
      </c>
      <c r="D1744" s="135">
        <f t="shared" si="27"/>
        <v>-0.0153187489760194</v>
      </c>
    </row>
    <row r="1745" ht="14.25" customHeight="1" spans="2:4">
      <c r="B1745" s="137">
        <v>43663</v>
      </c>
      <c r="C1745" s="132">
        <v>11687.5</v>
      </c>
      <c r="D1745" s="135">
        <f t="shared" si="27"/>
        <v>-0.00775187165775404</v>
      </c>
    </row>
    <row r="1746" ht="14.25" customHeight="1" spans="2:4">
      <c r="B1746" s="137">
        <v>43662</v>
      </c>
      <c r="C1746" s="132">
        <v>11662.6</v>
      </c>
      <c r="D1746" s="135">
        <f t="shared" si="27"/>
        <v>0.00213502992471648</v>
      </c>
    </row>
    <row r="1747" ht="14.25" customHeight="1" spans="2:4">
      <c r="B1747" s="137">
        <v>43661</v>
      </c>
      <c r="C1747" s="132">
        <v>11588.35</v>
      </c>
      <c r="D1747" s="135">
        <f t="shared" si="27"/>
        <v>0.00640729698360865</v>
      </c>
    </row>
    <row r="1748" ht="14.25" customHeight="1" spans="2:4">
      <c r="B1748" s="137">
        <v>43658</v>
      </c>
      <c r="C1748" s="132">
        <v>11552.5</v>
      </c>
      <c r="D1748" s="135">
        <f t="shared" si="27"/>
        <v>0.00310322441030086</v>
      </c>
    </row>
    <row r="1749" ht="14.25" customHeight="1" spans="2:4">
      <c r="B1749" s="137">
        <v>43657</v>
      </c>
      <c r="C1749" s="132">
        <v>11582.9</v>
      </c>
      <c r="D1749" s="135">
        <f t="shared" si="27"/>
        <v>-0.00262455861658129</v>
      </c>
    </row>
    <row r="1750" ht="14.25" customHeight="1" spans="2:4">
      <c r="B1750" s="137">
        <v>43656</v>
      </c>
      <c r="C1750" s="132">
        <v>11498.9</v>
      </c>
      <c r="D1750" s="135">
        <f t="shared" si="27"/>
        <v>0.00730504656967179</v>
      </c>
    </row>
    <row r="1751" ht="14.25" customHeight="1" spans="2:4">
      <c r="B1751" s="137">
        <v>43655</v>
      </c>
      <c r="C1751" s="132">
        <v>11555.9</v>
      </c>
      <c r="D1751" s="135">
        <f t="shared" si="27"/>
        <v>-0.00493254527990028</v>
      </c>
    </row>
    <row r="1752" ht="14.25" customHeight="1" spans="2:4">
      <c r="B1752" s="137">
        <v>43654</v>
      </c>
      <c r="C1752" s="132">
        <v>11558.6</v>
      </c>
      <c r="D1752" s="135">
        <f t="shared" si="27"/>
        <v>-0.000233592303566232</v>
      </c>
    </row>
    <row r="1753" ht="14.25" customHeight="1" spans="2:4">
      <c r="B1753" s="137">
        <v>43651</v>
      </c>
      <c r="C1753" s="132">
        <v>11811.15</v>
      </c>
      <c r="D1753" s="135">
        <f t="shared" si="27"/>
        <v>-0.0213823378756514</v>
      </c>
    </row>
    <row r="1754" ht="14.25" customHeight="1" spans="2:4">
      <c r="B1754" s="137">
        <v>43650</v>
      </c>
      <c r="C1754" s="132">
        <v>11946.75</v>
      </c>
      <c r="D1754" s="135">
        <f t="shared" si="27"/>
        <v>-0.0113503672546927</v>
      </c>
    </row>
    <row r="1755" ht="14.25" customHeight="1" spans="2:4">
      <c r="B1755" s="137">
        <v>43649</v>
      </c>
      <c r="C1755" s="132">
        <v>11916.75</v>
      </c>
      <c r="D1755" s="135">
        <f t="shared" si="27"/>
        <v>0.00251746491283278</v>
      </c>
    </row>
    <row r="1756" ht="14.25" customHeight="1" spans="2:4">
      <c r="B1756" s="137">
        <v>43648</v>
      </c>
      <c r="C1756" s="132">
        <v>11910.3</v>
      </c>
      <c r="D1756" s="135">
        <f t="shared" si="27"/>
        <v>0.00054154807183715</v>
      </c>
    </row>
    <row r="1757" ht="14.25" customHeight="1" spans="2:4">
      <c r="B1757" s="137">
        <v>43647</v>
      </c>
      <c r="C1757" s="132">
        <v>11865.6</v>
      </c>
      <c r="D1757" s="135">
        <f t="shared" si="27"/>
        <v>0.00376719255663427</v>
      </c>
    </row>
    <row r="1758" ht="14.25" customHeight="1" spans="2:4">
      <c r="B1758" s="137">
        <v>43644</v>
      </c>
      <c r="C1758" s="132">
        <v>11788.85</v>
      </c>
      <c r="D1758" s="135">
        <f t="shared" si="27"/>
        <v>0.00651038905406387</v>
      </c>
    </row>
    <row r="1759" ht="14.25" customHeight="1" spans="2:4">
      <c r="B1759" s="137">
        <v>43643</v>
      </c>
      <c r="C1759" s="132">
        <v>11841.55</v>
      </c>
      <c r="D1759" s="135">
        <f t="shared" si="27"/>
        <v>-0.00445043089798203</v>
      </c>
    </row>
    <row r="1760" ht="14.25" customHeight="1" spans="2:4">
      <c r="B1760" s="137">
        <v>43642</v>
      </c>
      <c r="C1760" s="132">
        <v>11847.55</v>
      </c>
      <c r="D1760" s="135">
        <f t="shared" si="27"/>
        <v>-0.000506433819650431</v>
      </c>
    </row>
    <row r="1761" ht="14.25" customHeight="1" spans="2:4">
      <c r="B1761" s="137">
        <v>43641</v>
      </c>
      <c r="C1761" s="132">
        <v>11796.45</v>
      </c>
      <c r="D1761" s="135">
        <f t="shared" si="27"/>
        <v>0.00433181168910979</v>
      </c>
    </row>
    <row r="1762" ht="14.25" customHeight="1" spans="2:4">
      <c r="B1762" s="137">
        <v>43640</v>
      </c>
      <c r="C1762" s="132">
        <v>11699.65</v>
      </c>
      <c r="D1762" s="135">
        <f t="shared" si="27"/>
        <v>0.00827375177889955</v>
      </c>
    </row>
    <row r="1763" ht="14.25" customHeight="1" spans="2:4">
      <c r="B1763" s="137">
        <v>43637</v>
      </c>
      <c r="C1763" s="132">
        <v>11724.1</v>
      </c>
      <c r="D1763" s="135">
        <f t="shared" si="27"/>
        <v>-0.00208544792350807</v>
      </c>
    </row>
    <row r="1764" ht="14.25" customHeight="1" spans="2:4">
      <c r="B1764" s="137">
        <v>43636</v>
      </c>
      <c r="C1764" s="132">
        <v>11831.75</v>
      </c>
      <c r="D1764" s="135">
        <f t="shared" si="27"/>
        <v>-0.00909840049020638</v>
      </c>
    </row>
    <row r="1765" ht="14.25" customHeight="1" spans="2:4">
      <c r="B1765" s="137">
        <v>43635</v>
      </c>
      <c r="C1765" s="132">
        <v>11691.45</v>
      </c>
      <c r="D1765" s="135">
        <f t="shared" si="27"/>
        <v>0.012000222384734</v>
      </c>
    </row>
    <row r="1766" ht="14.25" customHeight="1" spans="2:4">
      <c r="B1766" s="137">
        <v>43634</v>
      </c>
      <c r="C1766" s="132">
        <v>11691.5</v>
      </c>
      <c r="D1766" s="135">
        <f t="shared" si="27"/>
        <v>-4.27661121316092e-6</v>
      </c>
    </row>
    <row r="1767" ht="14.25" customHeight="1" spans="2:4">
      <c r="B1767" s="137">
        <v>43633</v>
      </c>
      <c r="C1767" s="132">
        <v>11672.15</v>
      </c>
      <c r="D1767" s="135">
        <f t="shared" si="27"/>
        <v>0.00165779226620644</v>
      </c>
    </row>
    <row r="1768" ht="14.25" customHeight="1" spans="2:4">
      <c r="B1768" s="137">
        <v>43630</v>
      </c>
      <c r="C1768" s="132">
        <v>11823.3</v>
      </c>
      <c r="D1768" s="135">
        <f t="shared" si="27"/>
        <v>-0.0127840788950631</v>
      </c>
    </row>
    <row r="1769" ht="14.25" customHeight="1" spans="2:4">
      <c r="B1769" s="137">
        <v>43629</v>
      </c>
      <c r="C1769" s="132">
        <v>11914.05</v>
      </c>
      <c r="D1769" s="135">
        <f t="shared" si="27"/>
        <v>-0.00761705717199446</v>
      </c>
    </row>
    <row r="1770" ht="14.25" customHeight="1" spans="2:4">
      <c r="B1770" s="137">
        <v>43628</v>
      </c>
      <c r="C1770" s="132">
        <v>11906.2</v>
      </c>
      <c r="D1770" s="135">
        <f t="shared" si="27"/>
        <v>0.000659320354101212</v>
      </c>
    </row>
    <row r="1771" ht="14.25" customHeight="1" spans="2:4">
      <c r="B1771" s="137">
        <v>43627</v>
      </c>
      <c r="C1771" s="132">
        <v>11965.6</v>
      </c>
      <c r="D1771" s="135">
        <f t="shared" si="27"/>
        <v>-0.00496423079494546</v>
      </c>
    </row>
    <row r="1772" ht="14.25" customHeight="1" spans="2:4">
      <c r="B1772" s="137">
        <v>43626</v>
      </c>
      <c r="C1772" s="132">
        <v>11922.7</v>
      </c>
      <c r="D1772" s="135">
        <f t="shared" si="27"/>
        <v>0.00359817826499031</v>
      </c>
    </row>
    <row r="1773" ht="14.25" customHeight="1" spans="2:4">
      <c r="B1773" s="137">
        <v>43623</v>
      </c>
      <c r="C1773" s="132">
        <v>11870.65</v>
      </c>
      <c r="D1773" s="135">
        <f t="shared" si="27"/>
        <v>0.00438476410306099</v>
      </c>
    </row>
    <row r="1774" ht="14.25" customHeight="1" spans="2:4">
      <c r="B1774" s="137">
        <v>43622</v>
      </c>
      <c r="C1774" s="132">
        <v>11843.75</v>
      </c>
      <c r="D1774" s="135">
        <f t="shared" si="27"/>
        <v>0.00227124010554092</v>
      </c>
    </row>
    <row r="1775" ht="14.25" customHeight="1" spans="2:4">
      <c r="B1775" s="137">
        <v>43620</v>
      </c>
      <c r="C1775" s="132">
        <v>12021.65</v>
      </c>
      <c r="D1775" s="135">
        <f t="shared" si="27"/>
        <v>-0.0147983013978946</v>
      </c>
    </row>
    <row r="1776" ht="14.25" customHeight="1" spans="2:4">
      <c r="B1776" s="137">
        <v>43619</v>
      </c>
      <c r="C1776" s="132">
        <v>12088.55</v>
      </c>
      <c r="D1776" s="135">
        <f t="shared" si="27"/>
        <v>-0.00553416249260663</v>
      </c>
    </row>
    <row r="1777" ht="14.25" customHeight="1" spans="2:4">
      <c r="B1777" s="137">
        <v>43616</v>
      </c>
      <c r="C1777" s="132">
        <v>11922.8</v>
      </c>
      <c r="D1777" s="135">
        <f t="shared" si="27"/>
        <v>0.0139019357868957</v>
      </c>
    </row>
    <row r="1778" ht="14.25" customHeight="1" spans="2:4">
      <c r="B1778" s="137">
        <v>43615</v>
      </c>
      <c r="C1778" s="132">
        <v>11945.9</v>
      </c>
      <c r="D1778" s="135">
        <f t="shared" si="27"/>
        <v>-0.00193371784461616</v>
      </c>
    </row>
    <row r="1779" ht="14.25" customHeight="1" spans="2:4">
      <c r="B1779" s="137">
        <v>43614</v>
      </c>
      <c r="C1779" s="132">
        <v>11861.1</v>
      </c>
      <c r="D1779" s="135">
        <f t="shared" si="27"/>
        <v>0.00714942121725626</v>
      </c>
    </row>
    <row r="1780" ht="14.25" customHeight="1" spans="2:4">
      <c r="B1780" s="137">
        <v>43613</v>
      </c>
      <c r="C1780" s="132">
        <v>11928.75</v>
      </c>
      <c r="D1780" s="135">
        <f t="shared" si="27"/>
        <v>-0.00567117258723671</v>
      </c>
    </row>
    <row r="1781" ht="14.25" customHeight="1" spans="2:4">
      <c r="B1781" s="137">
        <v>43612</v>
      </c>
      <c r="C1781" s="132">
        <v>11924.75</v>
      </c>
      <c r="D1781" s="135">
        <f t="shared" si="27"/>
        <v>0.000335436801610189</v>
      </c>
    </row>
    <row r="1782" ht="14.25" customHeight="1" spans="2:4">
      <c r="B1782" s="137">
        <v>43609</v>
      </c>
      <c r="C1782" s="132">
        <v>11844.1</v>
      </c>
      <c r="D1782" s="135">
        <f t="shared" si="27"/>
        <v>0.00680929745611736</v>
      </c>
    </row>
    <row r="1783" ht="14.25" customHeight="1" spans="2:4">
      <c r="B1783" s="137">
        <v>43608</v>
      </c>
      <c r="C1783" s="132">
        <v>11657.05</v>
      </c>
      <c r="D1783" s="135">
        <f t="shared" si="27"/>
        <v>0.0160460837004217</v>
      </c>
    </row>
    <row r="1784" ht="14.25" customHeight="1" spans="2:4">
      <c r="B1784" s="137">
        <v>43607</v>
      </c>
      <c r="C1784" s="132">
        <v>11737.9</v>
      </c>
      <c r="D1784" s="135">
        <f t="shared" si="27"/>
        <v>-0.00688794418081606</v>
      </c>
    </row>
    <row r="1785" ht="14.25" customHeight="1" spans="2:4">
      <c r="B1785" s="137">
        <v>43606</v>
      </c>
      <c r="C1785" s="132">
        <v>11709.1</v>
      </c>
      <c r="D1785" s="135">
        <f t="shared" si="27"/>
        <v>0.00245962541954547</v>
      </c>
    </row>
    <row r="1786" ht="14.25" customHeight="1" spans="2:4">
      <c r="B1786" s="137">
        <v>43605</v>
      </c>
      <c r="C1786" s="132">
        <v>11828.25</v>
      </c>
      <c r="D1786" s="135">
        <f t="shared" si="27"/>
        <v>-0.0100733413649525</v>
      </c>
    </row>
    <row r="1787" ht="14.25" customHeight="1" spans="2:4">
      <c r="B1787" s="137">
        <v>43602</v>
      </c>
      <c r="C1787" s="132">
        <v>11407.15</v>
      </c>
      <c r="D1787" s="135">
        <f t="shared" si="27"/>
        <v>0.0369154433841932</v>
      </c>
    </row>
    <row r="1788" ht="14.25" customHeight="1" spans="2:4">
      <c r="B1788" s="137">
        <v>43601</v>
      </c>
      <c r="C1788" s="132">
        <v>11257.1</v>
      </c>
      <c r="D1788" s="135">
        <f t="shared" si="27"/>
        <v>0.0133293654671274</v>
      </c>
    </row>
    <row r="1789" ht="14.25" customHeight="1" spans="2:4">
      <c r="B1789" s="137">
        <v>43600</v>
      </c>
      <c r="C1789" s="132">
        <v>11157</v>
      </c>
      <c r="D1789" s="135">
        <f t="shared" si="27"/>
        <v>0.00897194586358352</v>
      </c>
    </row>
    <row r="1790" ht="14.25" customHeight="1" spans="2:4">
      <c r="B1790" s="137">
        <v>43599</v>
      </c>
      <c r="C1790" s="132">
        <v>11222.05</v>
      </c>
      <c r="D1790" s="135">
        <f t="shared" si="27"/>
        <v>-0.00579662361155042</v>
      </c>
    </row>
    <row r="1791" ht="14.25" customHeight="1" spans="2:4">
      <c r="B1791" s="137">
        <v>43598</v>
      </c>
      <c r="C1791" s="132">
        <v>11148.2</v>
      </c>
      <c r="D1791" s="135">
        <f t="shared" si="27"/>
        <v>0.00662438779354502</v>
      </c>
    </row>
    <row r="1792" ht="14.25" customHeight="1" spans="2:4">
      <c r="B1792" s="137">
        <v>43595</v>
      </c>
      <c r="C1792" s="132">
        <v>11278.9</v>
      </c>
      <c r="D1792" s="135">
        <f t="shared" si="27"/>
        <v>-0.0115880094690084</v>
      </c>
    </row>
    <row r="1793" ht="14.25" customHeight="1" spans="2:4">
      <c r="B1793" s="137">
        <v>43594</v>
      </c>
      <c r="C1793" s="132">
        <v>11301.8</v>
      </c>
      <c r="D1793" s="135">
        <f t="shared" si="27"/>
        <v>-0.00202622591091683</v>
      </c>
    </row>
    <row r="1794" ht="14.25" customHeight="1" spans="2:4">
      <c r="B1794" s="137">
        <v>43593</v>
      </c>
      <c r="C1794" s="132">
        <v>11359.45</v>
      </c>
      <c r="D1794" s="135">
        <f t="shared" si="27"/>
        <v>-0.00507506965566129</v>
      </c>
    </row>
    <row r="1795" ht="14.25" customHeight="1" spans="2:4">
      <c r="B1795" s="137">
        <v>43592</v>
      </c>
      <c r="C1795" s="132">
        <v>11497.9</v>
      </c>
      <c r="D1795" s="135">
        <f t="shared" si="27"/>
        <v>-0.0120413292862174</v>
      </c>
    </row>
    <row r="1796" ht="14.25" customHeight="1" spans="2:4">
      <c r="B1796" s="137">
        <v>43591</v>
      </c>
      <c r="C1796" s="132">
        <v>11598.25</v>
      </c>
      <c r="D1796" s="135">
        <f t="shared" si="27"/>
        <v>-0.00865216735283347</v>
      </c>
    </row>
    <row r="1797" ht="14.25" customHeight="1" spans="2:4">
      <c r="B1797" s="137">
        <v>43588</v>
      </c>
      <c r="C1797" s="132">
        <v>11712.25</v>
      </c>
      <c r="D1797" s="135">
        <f t="shared" si="27"/>
        <v>-0.00973339879186319</v>
      </c>
    </row>
    <row r="1798" ht="14.25" customHeight="1" spans="2:4">
      <c r="B1798" s="137">
        <v>43587</v>
      </c>
      <c r="C1798" s="132">
        <v>11724.75</v>
      </c>
      <c r="D1798" s="135">
        <f t="shared" si="27"/>
        <v>-0.00106612081281054</v>
      </c>
    </row>
    <row r="1799" ht="14.25" customHeight="1" spans="2:4">
      <c r="B1799" s="137">
        <v>43585</v>
      </c>
      <c r="C1799" s="132">
        <v>11748.15</v>
      </c>
      <c r="D1799" s="135">
        <f t="shared" si="27"/>
        <v>-0.00199180296472212</v>
      </c>
    </row>
    <row r="1800" ht="14.25" customHeight="1" spans="2:4">
      <c r="B1800" s="137">
        <v>43581</v>
      </c>
      <c r="C1800" s="132">
        <v>11754.65</v>
      </c>
      <c r="D1800" s="135">
        <f t="shared" si="27"/>
        <v>-0.000552972653375505</v>
      </c>
    </row>
    <row r="1801" ht="14.25" customHeight="1" spans="2:4">
      <c r="B1801" s="137">
        <v>43580</v>
      </c>
      <c r="C1801" s="132">
        <v>11641.8</v>
      </c>
      <c r="D1801" s="135">
        <f t="shared" ref="D1801:D1864" si="28">C1800/C1801-1</f>
        <v>0.00969351818447328</v>
      </c>
    </row>
    <row r="1802" ht="14.25" customHeight="1" spans="2:4">
      <c r="B1802" s="137">
        <v>43579</v>
      </c>
      <c r="C1802" s="132">
        <v>11726.15</v>
      </c>
      <c r="D1802" s="135">
        <f t="shared" si="28"/>
        <v>-0.00719332432213471</v>
      </c>
    </row>
    <row r="1803" ht="14.25" customHeight="1" spans="2:4">
      <c r="B1803" s="137">
        <v>43578</v>
      </c>
      <c r="C1803" s="132">
        <v>11575.95</v>
      </c>
      <c r="D1803" s="135">
        <f t="shared" si="28"/>
        <v>0.0129751769833144</v>
      </c>
    </row>
    <row r="1804" ht="14.25" customHeight="1" spans="2:4">
      <c r="B1804" s="137">
        <v>43577</v>
      </c>
      <c r="C1804" s="132">
        <v>11594.45</v>
      </c>
      <c r="D1804" s="135">
        <f t="shared" si="28"/>
        <v>-0.00159559099396689</v>
      </c>
    </row>
    <row r="1805" ht="14.25" customHeight="1" spans="2:4">
      <c r="B1805" s="137">
        <v>43573</v>
      </c>
      <c r="C1805" s="132">
        <v>11752.8</v>
      </c>
      <c r="D1805" s="135">
        <f t="shared" si="28"/>
        <v>-0.0134733850656864</v>
      </c>
    </row>
    <row r="1806" ht="14.25" customHeight="1" spans="2:4">
      <c r="B1806" s="137">
        <v>43571</v>
      </c>
      <c r="C1806" s="132">
        <v>11787.15</v>
      </c>
      <c r="D1806" s="135">
        <f t="shared" si="28"/>
        <v>-0.00291419045316299</v>
      </c>
    </row>
    <row r="1807" ht="14.25" customHeight="1" spans="2:4">
      <c r="B1807" s="137">
        <v>43570</v>
      </c>
      <c r="C1807" s="132">
        <v>11690.35</v>
      </c>
      <c r="D1807" s="135">
        <f t="shared" si="28"/>
        <v>0.00828033377957027</v>
      </c>
    </row>
    <row r="1808" ht="14.25" customHeight="1" spans="2:4">
      <c r="B1808" s="137">
        <v>43567</v>
      </c>
      <c r="C1808" s="132">
        <v>11643.45</v>
      </c>
      <c r="D1808" s="135">
        <f t="shared" si="28"/>
        <v>0.00402801575134504</v>
      </c>
    </row>
    <row r="1809" ht="14.25" customHeight="1" spans="2:4">
      <c r="B1809" s="137">
        <v>43566</v>
      </c>
      <c r="C1809" s="132">
        <v>11596.7</v>
      </c>
      <c r="D1809" s="135">
        <f t="shared" si="28"/>
        <v>0.00403131925461553</v>
      </c>
    </row>
    <row r="1810" ht="14.25" customHeight="1" spans="2:4">
      <c r="B1810" s="137">
        <v>43565</v>
      </c>
      <c r="C1810" s="132">
        <v>11584.3</v>
      </c>
      <c r="D1810" s="135">
        <f t="shared" si="28"/>
        <v>0.00107041426758636</v>
      </c>
    </row>
    <row r="1811" ht="14.25" customHeight="1" spans="2:4">
      <c r="B1811" s="137">
        <v>43564</v>
      </c>
      <c r="C1811" s="132">
        <v>11671.95</v>
      </c>
      <c r="D1811" s="135">
        <f t="shared" si="28"/>
        <v>-0.00750945643187317</v>
      </c>
    </row>
    <row r="1812" ht="14.25" customHeight="1" spans="2:4">
      <c r="B1812" s="137">
        <v>43563</v>
      </c>
      <c r="C1812" s="132">
        <v>11604.5</v>
      </c>
      <c r="D1812" s="135">
        <f t="shared" si="28"/>
        <v>0.00581240036192865</v>
      </c>
    </row>
    <row r="1813" ht="14.25" customHeight="1" spans="2:4">
      <c r="B1813" s="137">
        <v>43560</v>
      </c>
      <c r="C1813" s="132">
        <v>11665.95</v>
      </c>
      <c r="D1813" s="135">
        <f t="shared" si="28"/>
        <v>-0.0052674664300808</v>
      </c>
    </row>
    <row r="1814" ht="14.25" customHeight="1" spans="2:4">
      <c r="B1814" s="137">
        <v>43559</v>
      </c>
      <c r="C1814" s="132">
        <v>11598</v>
      </c>
      <c r="D1814" s="135">
        <f t="shared" si="28"/>
        <v>0.00585876875323343</v>
      </c>
    </row>
    <row r="1815" ht="14.25" customHeight="1" spans="2:4">
      <c r="B1815" s="137">
        <v>43558</v>
      </c>
      <c r="C1815" s="132">
        <v>11643.95</v>
      </c>
      <c r="D1815" s="135">
        <f t="shared" si="28"/>
        <v>-0.00394625535149162</v>
      </c>
    </row>
    <row r="1816" ht="14.25" customHeight="1" spans="2:4">
      <c r="B1816" s="137">
        <v>43557</v>
      </c>
      <c r="C1816" s="132">
        <v>11713.2</v>
      </c>
      <c r="D1816" s="135">
        <f t="shared" si="28"/>
        <v>-0.00591213331967355</v>
      </c>
    </row>
    <row r="1817" ht="14.25" customHeight="1" spans="2:4">
      <c r="B1817" s="137">
        <v>43556</v>
      </c>
      <c r="C1817" s="132">
        <v>11669.15</v>
      </c>
      <c r="D1817" s="135">
        <f t="shared" si="28"/>
        <v>0.0037749107689935</v>
      </c>
    </row>
    <row r="1818" ht="14.25" customHeight="1" spans="2:4">
      <c r="B1818" s="137">
        <v>43553</v>
      </c>
      <c r="C1818" s="132">
        <v>11623.9</v>
      </c>
      <c r="D1818" s="135">
        <f t="shared" si="28"/>
        <v>0.00389284147317159</v>
      </c>
    </row>
    <row r="1819" ht="14.25" customHeight="1" spans="2:4">
      <c r="B1819" s="137">
        <v>43552</v>
      </c>
      <c r="C1819" s="132">
        <v>11570</v>
      </c>
      <c r="D1819" s="135">
        <f t="shared" si="28"/>
        <v>0.00465859982713912</v>
      </c>
    </row>
    <row r="1820" ht="14.25" customHeight="1" spans="2:4">
      <c r="B1820" s="137">
        <v>43551</v>
      </c>
      <c r="C1820" s="132">
        <v>11445.05</v>
      </c>
      <c r="D1820" s="135">
        <f t="shared" si="28"/>
        <v>0.0109173834976695</v>
      </c>
    </row>
    <row r="1821" ht="14.25" customHeight="1" spans="2:4">
      <c r="B1821" s="137">
        <v>43550</v>
      </c>
      <c r="C1821" s="132">
        <v>11483.25</v>
      </c>
      <c r="D1821" s="135">
        <f t="shared" si="28"/>
        <v>-0.00332658437289102</v>
      </c>
    </row>
    <row r="1822" ht="14.25" customHeight="1" spans="2:4">
      <c r="B1822" s="137">
        <v>43549</v>
      </c>
      <c r="C1822" s="132">
        <v>11354.25</v>
      </c>
      <c r="D1822" s="135">
        <f t="shared" si="28"/>
        <v>0.0113613845036</v>
      </c>
    </row>
    <row r="1823" ht="14.25" customHeight="1" spans="2:4">
      <c r="B1823" s="137">
        <v>43546</v>
      </c>
      <c r="C1823" s="132">
        <v>11456.9</v>
      </c>
      <c r="D1823" s="135">
        <f t="shared" si="28"/>
        <v>-0.0089596662273389</v>
      </c>
    </row>
    <row r="1824" ht="14.25" customHeight="1" spans="2:4">
      <c r="B1824" s="137">
        <v>43544</v>
      </c>
      <c r="C1824" s="132">
        <v>11521.05</v>
      </c>
      <c r="D1824" s="135">
        <f t="shared" si="28"/>
        <v>-0.00556806888261052</v>
      </c>
    </row>
    <row r="1825" ht="14.25" customHeight="1" spans="2:4">
      <c r="B1825" s="137">
        <v>43543</v>
      </c>
      <c r="C1825" s="132">
        <v>11532.4</v>
      </c>
      <c r="D1825" s="135">
        <f t="shared" si="28"/>
        <v>-0.000984183691165819</v>
      </c>
    </row>
    <row r="1826" ht="14.25" customHeight="1" spans="2:4">
      <c r="B1826" s="137">
        <v>43542</v>
      </c>
      <c r="C1826" s="132">
        <v>11462.2</v>
      </c>
      <c r="D1826" s="135">
        <f t="shared" si="28"/>
        <v>0.00612447872136235</v>
      </c>
    </row>
    <row r="1827" ht="14.25" customHeight="1" spans="2:4">
      <c r="B1827" s="137">
        <v>43539</v>
      </c>
      <c r="C1827" s="132">
        <v>11426.85</v>
      </c>
      <c r="D1827" s="135">
        <f t="shared" si="28"/>
        <v>0.00309359097214013</v>
      </c>
    </row>
    <row r="1828" ht="14.25" customHeight="1" spans="2:4">
      <c r="B1828" s="137">
        <v>43538</v>
      </c>
      <c r="C1828" s="132">
        <v>11343.25</v>
      </c>
      <c r="D1828" s="135">
        <f t="shared" si="28"/>
        <v>0.00737002181914348</v>
      </c>
    </row>
    <row r="1829" ht="14.25" customHeight="1" spans="2:4">
      <c r="B1829" s="137">
        <v>43537</v>
      </c>
      <c r="C1829" s="132">
        <v>11341.7</v>
      </c>
      <c r="D1829" s="135">
        <f t="shared" si="28"/>
        <v>0.000136663815829996</v>
      </c>
    </row>
    <row r="1830" ht="14.25" customHeight="1" spans="2:4">
      <c r="B1830" s="137">
        <v>43536</v>
      </c>
      <c r="C1830" s="132">
        <v>11301.2</v>
      </c>
      <c r="D1830" s="135">
        <f t="shared" si="28"/>
        <v>0.00358369022758653</v>
      </c>
    </row>
    <row r="1831" ht="14.25" customHeight="1" spans="2:4">
      <c r="B1831" s="137">
        <v>43535</v>
      </c>
      <c r="C1831" s="132">
        <v>11168.05</v>
      </c>
      <c r="D1831" s="135">
        <f t="shared" si="28"/>
        <v>0.0119224036425341</v>
      </c>
    </row>
    <row r="1832" ht="14.25" customHeight="1" spans="2:4">
      <c r="B1832" s="137">
        <v>43532</v>
      </c>
      <c r="C1832" s="132">
        <v>11035.4</v>
      </c>
      <c r="D1832" s="135">
        <f t="shared" si="28"/>
        <v>0.0120204070536636</v>
      </c>
    </row>
    <row r="1833" ht="14.25" customHeight="1" spans="2:4">
      <c r="B1833" s="137">
        <v>43531</v>
      </c>
      <c r="C1833" s="132">
        <v>11058.2</v>
      </c>
      <c r="D1833" s="135">
        <f t="shared" si="28"/>
        <v>-0.00206181837912145</v>
      </c>
    </row>
    <row r="1834" ht="14.25" customHeight="1" spans="2:4">
      <c r="B1834" s="137">
        <v>43530</v>
      </c>
      <c r="C1834" s="132">
        <v>11053</v>
      </c>
      <c r="D1834" s="135">
        <f t="shared" si="28"/>
        <v>0.000470460508459336</v>
      </c>
    </row>
    <row r="1835" ht="14.25" customHeight="1" spans="2:4">
      <c r="B1835" s="137">
        <v>43529</v>
      </c>
      <c r="C1835" s="132">
        <v>10987.45</v>
      </c>
      <c r="D1835" s="135">
        <f t="shared" si="28"/>
        <v>0.0059658974557335</v>
      </c>
    </row>
    <row r="1836" ht="14.25" customHeight="1" spans="2:4">
      <c r="B1836" s="137">
        <v>43525</v>
      </c>
      <c r="C1836" s="132">
        <v>10863.5</v>
      </c>
      <c r="D1836" s="135">
        <f t="shared" si="28"/>
        <v>0.0114097666497905</v>
      </c>
    </row>
    <row r="1837" ht="14.25" customHeight="1" spans="2:4">
      <c r="B1837" s="137">
        <v>43524</v>
      </c>
      <c r="C1837" s="132">
        <v>10792.5</v>
      </c>
      <c r="D1837" s="135">
        <f t="shared" si="28"/>
        <v>0.00657864257586294</v>
      </c>
    </row>
    <row r="1838" ht="14.25" customHeight="1" spans="2:4">
      <c r="B1838" s="137">
        <v>43523</v>
      </c>
      <c r="C1838" s="132">
        <v>10806.65</v>
      </c>
      <c r="D1838" s="135">
        <f t="shared" si="28"/>
        <v>-0.00130937894722227</v>
      </c>
    </row>
    <row r="1839" ht="14.25" customHeight="1" spans="2:4">
      <c r="B1839" s="137">
        <v>43522</v>
      </c>
      <c r="C1839" s="132">
        <v>10835.3</v>
      </c>
      <c r="D1839" s="135">
        <f t="shared" si="28"/>
        <v>-0.00264413537234776</v>
      </c>
    </row>
    <row r="1840" ht="14.25" customHeight="1" spans="2:4">
      <c r="B1840" s="137">
        <v>43521</v>
      </c>
      <c r="C1840" s="132">
        <v>10880.1</v>
      </c>
      <c r="D1840" s="135">
        <f t="shared" si="28"/>
        <v>-0.00411760921315074</v>
      </c>
    </row>
    <row r="1841" ht="14.25" customHeight="1" spans="2:4">
      <c r="B1841" s="137">
        <v>43518</v>
      </c>
      <c r="C1841" s="132">
        <v>10791.65</v>
      </c>
      <c r="D1841" s="135">
        <f t="shared" si="28"/>
        <v>0.00819615165428833</v>
      </c>
    </row>
    <row r="1842" ht="14.25" customHeight="1" spans="2:4">
      <c r="B1842" s="137">
        <v>43517</v>
      </c>
      <c r="C1842" s="132">
        <v>10789.85</v>
      </c>
      <c r="D1842" s="135">
        <f t="shared" si="28"/>
        <v>0.000166823449816222</v>
      </c>
    </row>
    <row r="1843" ht="14.25" customHeight="1" spans="2:4">
      <c r="B1843" s="137">
        <v>43516</v>
      </c>
      <c r="C1843" s="132">
        <v>10735.45</v>
      </c>
      <c r="D1843" s="135">
        <f t="shared" si="28"/>
        <v>0.00506732367995744</v>
      </c>
    </row>
    <row r="1844" ht="14.25" customHeight="1" spans="2:4">
      <c r="B1844" s="137">
        <v>43515</v>
      </c>
      <c r="C1844" s="132">
        <v>10604.35</v>
      </c>
      <c r="D1844" s="135">
        <f t="shared" si="28"/>
        <v>0.0123628510941265</v>
      </c>
    </row>
    <row r="1845" ht="14.25" customHeight="1" spans="2:4">
      <c r="B1845" s="137">
        <v>43514</v>
      </c>
      <c r="C1845" s="132">
        <v>10640.95</v>
      </c>
      <c r="D1845" s="135">
        <f t="shared" si="28"/>
        <v>-0.00343954252204925</v>
      </c>
    </row>
    <row r="1846" ht="14.25" customHeight="1" spans="2:4">
      <c r="B1846" s="137">
        <v>43511</v>
      </c>
      <c r="C1846" s="132">
        <v>10724.4</v>
      </c>
      <c r="D1846" s="135">
        <f t="shared" si="28"/>
        <v>-0.00778132109954854</v>
      </c>
    </row>
    <row r="1847" ht="14.25" customHeight="1" spans="2:4">
      <c r="B1847" s="137">
        <v>43510</v>
      </c>
      <c r="C1847" s="132">
        <v>10746.05</v>
      </c>
      <c r="D1847" s="135">
        <f t="shared" si="28"/>
        <v>-0.00201469377119967</v>
      </c>
    </row>
    <row r="1848" ht="14.25" customHeight="1" spans="2:4">
      <c r="B1848" s="137">
        <v>43509</v>
      </c>
      <c r="C1848" s="132">
        <v>10793.65</v>
      </c>
      <c r="D1848" s="135">
        <f t="shared" si="28"/>
        <v>-0.00441000032426475</v>
      </c>
    </row>
    <row r="1849" ht="14.25" customHeight="1" spans="2:4">
      <c r="B1849" s="137">
        <v>43508</v>
      </c>
      <c r="C1849" s="132">
        <v>10831.4</v>
      </c>
      <c r="D1849" s="135">
        <f t="shared" si="28"/>
        <v>-0.00348523736543749</v>
      </c>
    </row>
    <row r="1850" ht="14.25" customHeight="1" spans="2:4">
      <c r="B1850" s="137">
        <v>43507</v>
      </c>
      <c r="C1850" s="132">
        <v>10888.8</v>
      </c>
      <c r="D1850" s="135">
        <f t="shared" si="28"/>
        <v>-0.00527147160384978</v>
      </c>
    </row>
    <row r="1851" ht="14.25" customHeight="1" spans="2:4">
      <c r="B1851" s="137">
        <v>43504</v>
      </c>
      <c r="C1851" s="132">
        <v>10943.6</v>
      </c>
      <c r="D1851" s="135">
        <f t="shared" si="28"/>
        <v>-0.00500749296392422</v>
      </c>
    </row>
    <row r="1852" ht="14.25" customHeight="1" spans="2:4">
      <c r="B1852" s="137">
        <v>43503</v>
      </c>
      <c r="C1852" s="132">
        <v>11069.4</v>
      </c>
      <c r="D1852" s="135">
        <f t="shared" si="28"/>
        <v>-0.0113646629446943</v>
      </c>
    </row>
    <row r="1853" ht="14.25" customHeight="1" spans="2:4">
      <c r="B1853" s="137">
        <v>43502</v>
      </c>
      <c r="C1853" s="132">
        <v>11062.45</v>
      </c>
      <c r="D1853" s="135">
        <f t="shared" si="28"/>
        <v>0.000628251427124971</v>
      </c>
    </row>
    <row r="1854" ht="14.25" customHeight="1" spans="2:4">
      <c r="B1854" s="137">
        <v>43501</v>
      </c>
      <c r="C1854" s="132">
        <v>10934.35</v>
      </c>
      <c r="D1854" s="135">
        <f t="shared" si="28"/>
        <v>0.01171537402772</v>
      </c>
    </row>
    <row r="1855" ht="14.25" customHeight="1" spans="2:4">
      <c r="B1855" s="137">
        <v>43500</v>
      </c>
      <c r="C1855" s="132">
        <v>10912.25</v>
      </c>
      <c r="D1855" s="135">
        <f t="shared" si="28"/>
        <v>0.00202524685559813</v>
      </c>
    </row>
    <row r="1856" ht="14.25" customHeight="1" spans="2:4">
      <c r="B1856" s="137">
        <v>43497</v>
      </c>
      <c r="C1856" s="132">
        <v>10893.65</v>
      </c>
      <c r="D1856" s="135">
        <f t="shared" si="28"/>
        <v>0.00170741670606267</v>
      </c>
    </row>
    <row r="1857" ht="14.25" customHeight="1" spans="2:4">
      <c r="B1857" s="137">
        <v>43496</v>
      </c>
      <c r="C1857" s="132">
        <v>10830.95</v>
      </c>
      <c r="D1857" s="135">
        <f t="shared" si="28"/>
        <v>0.00578896588018574</v>
      </c>
    </row>
    <row r="1858" ht="14.25" customHeight="1" spans="2:4">
      <c r="B1858" s="137">
        <v>43495</v>
      </c>
      <c r="C1858" s="132">
        <v>10651.8</v>
      </c>
      <c r="D1858" s="135">
        <f t="shared" si="28"/>
        <v>0.016818753637883</v>
      </c>
    </row>
    <row r="1859" ht="14.25" customHeight="1" spans="2:4">
      <c r="B1859" s="137">
        <v>43494</v>
      </c>
      <c r="C1859" s="132">
        <v>10652.2</v>
      </c>
      <c r="D1859" s="135">
        <f t="shared" si="28"/>
        <v>-3.75509284468167e-5</v>
      </c>
    </row>
    <row r="1860" ht="14.25" customHeight="1" spans="2:4">
      <c r="B1860" s="137">
        <v>43493</v>
      </c>
      <c r="C1860" s="132">
        <v>10661.55</v>
      </c>
      <c r="D1860" s="135">
        <f t="shared" si="28"/>
        <v>-0.000876983177867996</v>
      </c>
    </row>
    <row r="1861" ht="14.25" customHeight="1" spans="2:4">
      <c r="B1861" s="137">
        <v>43490</v>
      </c>
      <c r="C1861" s="132">
        <v>10780.55</v>
      </c>
      <c r="D1861" s="135">
        <f t="shared" si="28"/>
        <v>-0.011038397855397</v>
      </c>
    </row>
    <row r="1862" ht="14.25" customHeight="1" spans="2:4">
      <c r="B1862" s="137">
        <v>43489</v>
      </c>
      <c r="C1862" s="132">
        <v>10849.8</v>
      </c>
      <c r="D1862" s="135">
        <f t="shared" si="28"/>
        <v>-0.00638260613098862</v>
      </c>
    </row>
    <row r="1863" ht="14.25" customHeight="1" spans="2:4">
      <c r="B1863" s="137">
        <v>43488</v>
      </c>
      <c r="C1863" s="132">
        <v>10831.5</v>
      </c>
      <c r="D1863" s="135">
        <f t="shared" si="28"/>
        <v>0.00168951668743933</v>
      </c>
    </row>
    <row r="1864" ht="14.25" customHeight="1" spans="2:4">
      <c r="B1864" s="137">
        <v>43487</v>
      </c>
      <c r="C1864" s="132">
        <v>10922.75</v>
      </c>
      <c r="D1864" s="135">
        <f t="shared" si="28"/>
        <v>-0.00835412327481633</v>
      </c>
    </row>
    <row r="1865" ht="14.25" customHeight="1" spans="2:4">
      <c r="B1865" s="137">
        <v>43486</v>
      </c>
      <c r="C1865" s="132">
        <v>10961.85</v>
      </c>
      <c r="D1865" s="135">
        <f t="shared" ref="D1865:D1928" si="29">C1864/C1865-1</f>
        <v>-0.00356691616834748</v>
      </c>
    </row>
    <row r="1866" ht="14.25" customHeight="1" spans="2:4">
      <c r="B1866" s="137">
        <v>43483</v>
      </c>
      <c r="C1866" s="132">
        <v>10906.95</v>
      </c>
      <c r="D1866" s="135">
        <f t="shared" si="29"/>
        <v>0.00503348782198509</v>
      </c>
    </row>
    <row r="1867" ht="14.25" customHeight="1" spans="2:4">
      <c r="B1867" s="137">
        <v>43482</v>
      </c>
      <c r="C1867" s="132">
        <v>10905.2</v>
      </c>
      <c r="D1867" s="135">
        <f t="shared" si="29"/>
        <v>0.000160473902358405</v>
      </c>
    </row>
    <row r="1868" ht="14.25" customHeight="1" spans="2:4">
      <c r="B1868" s="137">
        <v>43481</v>
      </c>
      <c r="C1868" s="132">
        <v>10890.3</v>
      </c>
      <c r="D1868" s="135">
        <f t="shared" si="29"/>
        <v>0.00136819004067856</v>
      </c>
    </row>
    <row r="1869" ht="14.25" customHeight="1" spans="2:4">
      <c r="B1869" s="137">
        <v>43480</v>
      </c>
      <c r="C1869" s="132">
        <v>10886.8</v>
      </c>
      <c r="D1869" s="135">
        <f t="shared" si="29"/>
        <v>0.000321490245067446</v>
      </c>
    </row>
    <row r="1870" ht="14.25" customHeight="1" spans="2:4">
      <c r="B1870" s="137">
        <v>43479</v>
      </c>
      <c r="C1870" s="132">
        <v>10737.6</v>
      </c>
      <c r="D1870" s="135">
        <f t="shared" si="29"/>
        <v>0.0138950976009535</v>
      </c>
    </row>
    <row r="1871" ht="14.25" customHeight="1" spans="2:4">
      <c r="B1871" s="137">
        <v>43476</v>
      </c>
      <c r="C1871" s="132">
        <v>10794.95</v>
      </c>
      <c r="D1871" s="135">
        <f t="shared" si="29"/>
        <v>-0.00531266935002017</v>
      </c>
    </row>
    <row r="1872" ht="14.25" customHeight="1" spans="2:4">
      <c r="B1872" s="137">
        <v>43475</v>
      </c>
      <c r="C1872" s="132">
        <v>10821.6</v>
      </c>
      <c r="D1872" s="135">
        <f t="shared" si="29"/>
        <v>-0.00246266725807642</v>
      </c>
    </row>
    <row r="1873" ht="14.25" customHeight="1" spans="2:4">
      <c r="B1873" s="137">
        <v>43474</v>
      </c>
      <c r="C1873" s="132">
        <v>10855.15</v>
      </c>
      <c r="D1873" s="135">
        <f t="shared" si="29"/>
        <v>-0.00309069888486102</v>
      </c>
    </row>
    <row r="1874" ht="14.25" customHeight="1" spans="2:4">
      <c r="B1874" s="137">
        <v>43473</v>
      </c>
      <c r="C1874" s="132">
        <v>10802.15</v>
      </c>
      <c r="D1874" s="135">
        <f t="shared" si="29"/>
        <v>0.00490643066426588</v>
      </c>
    </row>
    <row r="1875" ht="14.25" customHeight="1" spans="2:4">
      <c r="B1875" s="137">
        <v>43472</v>
      </c>
      <c r="C1875" s="132">
        <v>10771.8</v>
      </c>
      <c r="D1875" s="135">
        <f t="shared" si="29"/>
        <v>0.0028175421006702</v>
      </c>
    </row>
    <row r="1876" ht="14.25" customHeight="1" spans="2:4">
      <c r="B1876" s="137">
        <v>43469</v>
      </c>
      <c r="C1876" s="132">
        <v>10727.35</v>
      </c>
      <c r="D1876" s="135">
        <f t="shared" si="29"/>
        <v>0.00414361421972798</v>
      </c>
    </row>
    <row r="1877" ht="14.25" customHeight="1" spans="2:4">
      <c r="B1877" s="137">
        <v>43468</v>
      </c>
      <c r="C1877" s="132">
        <v>10672.25</v>
      </c>
      <c r="D1877" s="135">
        <f t="shared" si="29"/>
        <v>0.00516292253273676</v>
      </c>
    </row>
    <row r="1878" ht="14.25" customHeight="1" spans="2:4">
      <c r="B1878" s="137">
        <v>43467</v>
      </c>
      <c r="C1878" s="132">
        <v>10792.5</v>
      </c>
      <c r="D1878" s="135">
        <f t="shared" si="29"/>
        <v>-0.0111419967570072</v>
      </c>
    </row>
    <row r="1879" ht="14.25" customHeight="1" spans="2:4">
      <c r="B1879" s="137">
        <v>43466</v>
      </c>
      <c r="C1879" s="132">
        <v>10910.1</v>
      </c>
      <c r="D1879" s="135">
        <f t="shared" si="29"/>
        <v>-0.0107790029422279</v>
      </c>
    </row>
    <row r="1880" ht="14.25" customHeight="1" spans="2:4">
      <c r="B1880" s="137">
        <v>43465</v>
      </c>
      <c r="C1880" s="132">
        <v>10862.55</v>
      </c>
      <c r="D1880" s="135">
        <f t="shared" si="29"/>
        <v>0.00437742519021778</v>
      </c>
    </row>
    <row r="1881" ht="14.25" customHeight="1" spans="2:4">
      <c r="B1881" s="137">
        <v>43462</v>
      </c>
      <c r="C1881" s="132">
        <v>10859.9</v>
      </c>
      <c r="D1881" s="135">
        <f t="shared" si="29"/>
        <v>0.000244016979898509</v>
      </c>
    </row>
    <row r="1882" ht="14.25" customHeight="1" spans="2:4">
      <c r="B1882" s="137">
        <v>43461</v>
      </c>
      <c r="C1882" s="132">
        <v>10779.8</v>
      </c>
      <c r="D1882" s="135">
        <f t="shared" si="29"/>
        <v>0.00743056457448188</v>
      </c>
    </row>
    <row r="1883" ht="14.25" customHeight="1" spans="2:4">
      <c r="B1883" s="137">
        <v>43460</v>
      </c>
      <c r="C1883" s="132">
        <v>10729.85</v>
      </c>
      <c r="D1883" s="135">
        <f t="shared" si="29"/>
        <v>0.00465523749167041</v>
      </c>
    </row>
    <row r="1884" ht="14.25" customHeight="1" spans="2:4">
      <c r="B1884" s="137">
        <v>43458</v>
      </c>
      <c r="C1884" s="132">
        <v>10663.5</v>
      </c>
      <c r="D1884" s="135">
        <f t="shared" si="29"/>
        <v>0.00622215970366202</v>
      </c>
    </row>
    <row r="1885" ht="14.25" customHeight="1" spans="2:4">
      <c r="B1885" s="137">
        <v>43455</v>
      </c>
      <c r="C1885" s="132">
        <v>10754</v>
      </c>
      <c r="D1885" s="135">
        <f t="shared" si="29"/>
        <v>-0.00841547331225589</v>
      </c>
    </row>
    <row r="1886" ht="14.25" customHeight="1" spans="2:4">
      <c r="B1886" s="137">
        <v>43454</v>
      </c>
      <c r="C1886" s="132">
        <v>10951.7</v>
      </c>
      <c r="D1886" s="135">
        <f t="shared" si="29"/>
        <v>-0.0180519919281938</v>
      </c>
    </row>
    <row r="1887" ht="14.25" customHeight="1" spans="2:4">
      <c r="B1887" s="137">
        <v>43453</v>
      </c>
      <c r="C1887" s="132">
        <v>10967.3</v>
      </c>
      <c r="D1887" s="135">
        <f t="shared" si="29"/>
        <v>-0.00142241025594259</v>
      </c>
    </row>
    <row r="1888" ht="14.25" customHeight="1" spans="2:4">
      <c r="B1888" s="137">
        <v>43452</v>
      </c>
      <c r="C1888" s="132">
        <v>10908.7</v>
      </c>
      <c r="D1888" s="135">
        <f t="shared" si="29"/>
        <v>0.00537185915828631</v>
      </c>
    </row>
    <row r="1889" ht="14.25" customHeight="1" spans="2:4">
      <c r="B1889" s="137">
        <v>43451</v>
      </c>
      <c r="C1889" s="132">
        <v>10888.35</v>
      </c>
      <c r="D1889" s="135">
        <f t="shared" si="29"/>
        <v>0.00186897004596664</v>
      </c>
    </row>
    <row r="1890" ht="14.25" customHeight="1" spans="2:4">
      <c r="B1890" s="137">
        <v>43448</v>
      </c>
      <c r="C1890" s="132">
        <v>10805.45</v>
      </c>
      <c r="D1890" s="135">
        <f t="shared" si="29"/>
        <v>0.00767205437996554</v>
      </c>
    </row>
    <row r="1891" ht="14.25" customHeight="1" spans="2:4">
      <c r="B1891" s="137">
        <v>43447</v>
      </c>
      <c r="C1891" s="132">
        <v>10791.55</v>
      </c>
      <c r="D1891" s="135">
        <f t="shared" si="29"/>
        <v>0.00128804481283984</v>
      </c>
    </row>
    <row r="1892" ht="14.25" customHeight="1" spans="2:4">
      <c r="B1892" s="137">
        <v>43446</v>
      </c>
      <c r="C1892" s="132">
        <v>10737.6</v>
      </c>
      <c r="D1892" s="135">
        <f t="shared" si="29"/>
        <v>0.00502440023841455</v>
      </c>
    </row>
    <row r="1893" ht="14.25" customHeight="1" spans="2:4">
      <c r="B1893" s="137">
        <v>43445</v>
      </c>
      <c r="C1893" s="132">
        <v>10549.15</v>
      </c>
      <c r="D1893" s="135">
        <f t="shared" si="29"/>
        <v>0.0178639985212079</v>
      </c>
    </row>
    <row r="1894" ht="14.25" customHeight="1" spans="2:4">
      <c r="B1894" s="137">
        <v>43444</v>
      </c>
      <c r="C1894" s="132">
        <v>10488.45</v>
      </c>
      <c r="D1894" s="135">
        <f t="shared" si="29"/>
        <v>0.00578731843122671</v>
      </c>
    </row>
    <row r="1895" ht="14.25" customHeight="1" spans="2:4">
      <c r="B1895" s="137">
        <v>43441</v>
      </c>
      <c r="C1895" s="132">
        <v>10693.7</v>
      </c>
      <c r="D1895" s="135">
        <f t="shared" si="29"/>
        <v>-0.019193543862274</v>
      </c>
    </row>
    <row r="1896" ht="14.25" customHeight="1" spans="2:4">
      <c r="B1896" s="137">
        <v>43440</v>
      </c>
      <c r="C1896" s="132">
        <v>10601.15</v>
      </c>
      <c r="D1896" s="135">
        <f t="shared" si="29"/>
        <v>0.00873018493276678</v>
      </c>
    </row>
    <row r="1897" ht="14.25" customHeight="1" spans="2:4">
      <c r="B1897" s="137">
        <v>43439</v>
      </c>
      <c r="C1897" s="132">
        <v>10782.9</v>
      </c>
      <c r="D1897" s="135">
        <f t="shared" si="29"/>
        <v>-0.0168553914067644</v>
      </c>
    </row>
    <row r="1898" ht="14.25" customHeight="1" spans="2:4">
      <c r="B1898" s="137">
        <v>43438</v>
      </c>
      <c r="C1898" s="132">
        <v>10869.5</v>
      </c>
      <c r="D1898" s="135">
        <f t="shared" si="29"/>
        <v>-0.0079672478034869</v>
      </c>
    </row>
    <row r="1899" ht="14.25" customHeight="1" spans="2:4">
      <c r="B1899" s="137">
        <v>43437</v>
      </c>
      <c r="C1899" s="132">
        <v>10883.75</v>
      </c>
      <c r="D1899" s="135">
        <f t="shared" si="29"/>
        <v>-0.00130929137475599</v>
      </c>
    </row>
    <row r="1900" ht="14.25" customHeight="1" spans="2:4">
      <c r="B1900" s="137">
        <v>43434</v>
      </c>
      <c r="C1900" s="132">
        <v>10876.75</v>
      </c>
      <c r="D1900" s="135">
        <f t="shared" si="29"/>
        <v>0.000643574597191332</v>
      </c>
    </row>
    <row r="1901" ht="14.25" customHeight="1" spans="2:4">
      <c r="B1901" s="137">
        <v>43433</v>
      </c>
      <c r="C1901" s="132">
        <v>10858.7</v>
      </c>
      <c r="D1901" s="135">
        <f t="shared" si="29"/>
        <v>0.00166226159669192</v>
      </c>
    </row>
    <row r="1902" ht="14.25" customHeight="1" spans="2:4">
      <c r="B1902" s="137">
        <v>43432</v>
      </c>
      <c r="C1902" s="132">
        <v>10728.85</v>
      </c>
      <c r="D1902" s="135">
        <f t="shared" si="29"/>
        <v>0.0121028814831039</v>
      </c>
    </row>
    <row r="1903" ht="14.25" customHeight="1" spans="2:4">
      <c r="B1903" s="137">
        <v>43431</v>
      </c>
      <c r="C1903" s="132">
        <v>10685.6</v>
      </c>
      <c r="D1903" s="135">
        <f t="shared" si="29"/>
        <v>0.00404750318185232</v>
      </c>
    </row>
    <row r="1904" ht="14.25" customHeight="1" spans="2:4">
      <c r="B1904" s="137">
        <v>43430</v>
      </c>
      <c r="C1904" s="132">
        <v>10628.6</v>
      </c>
      <c r="D1904" s="135">
        <f t="shared" si="29"/>
        <v>0.00536288880943858</v>
      </c>
    </row>
    <row r="1905" ht="14.25" customHeight="1" spans="2:4">
      <c r="B1905" s="137">
        <v>43426</v>
      </c>
      <c r="C1905" s="132">
        <v>10526.75</v>
      </c>
      <c r="D1905" s="135">
        <f t="shared" si="29"/>
        <v>0.00967535089177574</v>
      </c>
    </row>
    <row r="1906" ht="14.25" customHeight="1" spans="2:4">
      <c r="B1906" s="137">
        <v>43425</v>
      </c>
      <c r="C1906" s="132">
        <v>10600.05</v>
      </c>
      <c r="D1906" s="135">
        <f t="shared" si="29"/>
        <v>-0.00691506172140688</v>
      </c>
    </row>
    <row r="1907" ht="14.25" customHeight="1" spans="2:4">
      <c r="B1907" s="137">
        <v>43424</v>
      </c>
      <c r="C1907" s="132">
        <v>10656.2</v>
      </c>
      <c r="D1907" s="135">
        <f t="shared" si="29"/>
        <v>-0.0052692329348174</v>
      </c>
    </row>
    <row r="1908" ht="14.25" customHeight="1" spans="2:4">
      <c r="B1908" s="137">
        <v>43423</v>
      </c>
      <c r="C1908" s="132">
        <v>10763.4</v>
      </c>
      <c r="D1908" s="135">
        <f t="shared" si="29"/>
        <v>-0.00995967816860832</v>
      </c>
    </row>
    <row r="1909" ht="14.25" customHeight="1" spans="2:4">
      <c r="B1909" s="137">
        <v>43420</v>
      </c>
      <c r="C1909" s="132">
        <v>10682.2</v>
      </c>
      <c r="D1909" s="135">
        <f t="shared" si="29"/>
        <v>0.00760143041695516</v>
      </c>
    </row>
    <row r="1910" ht="14.25" customHeight="1" spans="2:4">
      <c r="B1910" s="137">
        <v>43419</v>
      </c>
      <c r="C1910" s="132">
        <v>10616.7</v>
      </c>
      <c r="D1910" s="135">
        <f t="shared" si="29"/>
        <v>0.00616952537040705</v>
      </c>
    </row>
    <row r="1911" ht="14.25" customHeight="1" spans="2:4">
      <c r="B1911" s="137">
        <v>43418</v>
      </c>
      <c r="C1911" s="132">
        <v>10576.3</v>
      </c>
      <c r="D1911" s="135">
        <f t="shared" si="29"/>
        <v>0.00381986138819834</v>
      </c>
    </row>
    <row r="1912" ht="14.25" customHeight="1" spans="2:4">
      <c r="B1912" s="137">
        <v>43417</v>
      </c>
      <c r="C1912" s="132">
        <v>10582.5</v>
      </c>
      <c r="D1912" s="135">
        <f t="shared" si="29"/>
        <v>-0.000585872903378304</v>
      </c>
    </row>
    <row r="1913" ht="14.25" customHeight="1" spans="2:4">
      <c r="B1913" s="137">
        <v>43416</v>
      </c>
      <c r="C1913" s="132">
        <v>10482.2</v>
      </c>
      <c r="D1913" s="135">
        <f t="shared" si="29"/>
        <v>0.00956860201102816</v>
      </c>
    </row>
    <row r="1914" ht="14.25" customHeight="1" spans="2:4">
      <c r="B1914" s="137">
        <v>43413</v>
      </c>
      <c r="C1914" s="132">
        <v>10585.2</v>
      </c>
      <c r="D1914" s="135">
        <f t="shared" si="29"/>
        <v>-0.00973056720704379</v>
      </c>
    </row>
    <row r="1915" ht="14.25" customHeight="1" spans="2:4">
      <c r="B1915" s="137">
        <v>43411</v>
      </c>
      <c r="C1915" s="132">
        <v>10598.85</v>
      </c>
      <c r="D1915" s="135">
        <f t="shared" si="29"/>
        <v>-0.00128787557140631</v>
      </c>
    </row>
    <row r="1916" ht="14.25" customHeight="1" spans="2:4">
      <c r="B1916" s="137">
        <v>43410</v>
      </c>
      <c r="C1916" s="132">
        <v>10530</v>
      </c>
      <c r="D1916" s="135">
        <f t="shared" si="29"/>
        <v>0.0065384615384616</v>
      </c>
    </row>
    <row r="1917" ht="14.25" customHeight="1" spans="2:4">
      <c r="B1917" s="137">
        <v>43409</v>
      </c>
      <c r="C1917" s="132">
        <v>10524</v>
      </c>
      <c r="D1917" s="135">
        <f t="shared" si="29"/>
        <v>0.000570125427594048</v>
      </c>
    </row>
    <row r="1918" ht="14.25" customHeight="1" spans="2:4">
      <c r="B1918" s="137">
        <v>43406</v>
      </c>
      <c r="C1918" s="132">
        <v>10553</v>
      </c>
      <c r="D1918" s="135">
        <f t="shared" si="29"/>
        <v>-0.00274803373448307</v>
      </c>
    </row>
    <row r="1919" ht="14.25" customHeight="1" spans="2:4">
      <c r="B1919" s="137">
        <v>43405</v>
      </c>
      <c r="C1919" s="132">
        <v>10380.45</v>
      </c>
      <c r="D1919" s="135">
        <f t="shared" si="29"/>
        <v>0.0166225934328472</v>
      </c>
    </row>
    <row r="1920" ht="14.25" customHeight="1" spans="2:4">
      <c r="B1920" s="137">
        <v>43404</v>
      </c>
      <c r="C1920" s="132">
        <v>10386.6</v>
      </c>
      <c r="D1920" s="135">
        <f t="shared" si="29"/>
        <v>-0.000592109063601187</v>
      </c>
    </row>
    <row r="1921" ht="14.25" customHeight="1" spans="2:4">
      <c r="B1921" s="137">
        <v>43403</v>
      </c>
      <c r="C1921" s="132">
        <v>10198.4</v>
      </c>
      <c r="D1921" s="135">
        <f t="shared" si="29"/>
        <v>0.0184538751176655</v>
      </c>
    </row>
    <row r="1922" ht="14.25" customHeight="1" spans="2:4">
      <c r="B1922" s="137">
        <v>43402</v>
      </c>
      <c r="C1922" s="132">
        <v>10250.85</v>
      </c>
      <c r="D1922" s="135">
        <f t="shared" si="29"/>
        <v>-0.00511664886326502</v>
      </c>
    </row>
    <row r="1923" ht="14.25" customHeight="1" spans="2:4">
      <c r="B1923" s="137">
        <v>43399</v>
      </c>
      <c r="C1923" s="132">
        <v>10030</v>
      </c>
      <c r="D1923" s="135">
        <f t="shared" si="29"/>
        <v>0.0220189431704885</v>
      </c>
    </row>
    <row r="1924" ht="14.25" customHeight="1" spans="2:4">
      <c r="B1924" s="137">
        <v>43398</v>
      </c>
      <c r="C1924" s="132">
        <v>10124.9</v>
      </c>
      <c r="D1924" s="135">
        <f t="shared" si="29"/>
        <v>-0.00937293207834144</v>
      </c>
    </row>
    <row r="1925" ht="14.25" customHeight="1" spans="2:4">
      <c r="B1925" s="137">
        <v>43397</v>
      </c>
      <c r="C1925" s="132">
        <v>10224.75</v>
      </c>
      <c r="D1925" s="135">
        <f t="shared" si="29"/>
        <v>-0.00976551993936281</v>
      </c>
    </row>
    <row r="1926" ht="14.25" customHeight="1" spans="2:4">
      <c r="B1926" s="137">
        <v>43396</v>
      </c>
      <c r="C1926" s="132">
        <v>10146.8</v>
      </c>
      <c r="D1926" s="135">
        <f t="shared" si="29"/>
        <v>0.0076822249379116</v>
      </c>
    </row>
    <row r="1927" ht="14.25" customHeight="1" spans="2:4">
      <c r="B1927" s="137">
        <v>43395</v>
      </c>
      <c r="C1927" s="132">
        <v>10245.25</v>
      </c>
      <c r="D1927" s="135">
        <f t="shared" si="29"/>
        <v>-0.00960933115346141</v>
      </c>
    </row>
    <row r="1928" ht="14.25" customHeight="1" spans="2:4">
      <c r="B1928" s="137">
        <v>43392</v>
      </c>
      <c r="C1928" s="132">
        <v>10303.55</v>
      </c>
      <c r="D1928" s="135">
        <f t="shared" si="29"/>
        <v>-0.0056582440032803</v>
      </c>
    </row>
    <row r="1929" ht="14.25" customHeight="1" spans="2:4">
      <c r="B1929" s="137">
        <v>43390</v>
      </c>
      <c r="C1929" s="132">
        <v>10453.05</v>
      </c>
      <c r="D1929" s="135">
        <f t="shared" ref="D1929:D1992" si="30">C1928/C1929-1</f>
        <v>-0.0143020458143795</v>
      </c>
    </row>
    <row r="1930" ht="14.25" customHeight="1" spans="2:4">
      <c r="B1930" s="137">
        <v>43389</v>
      </c>
      <c r="C1930" s="132">
        <v>10584.75</v>
      </c>
      <c r="D1930" s="135">
        <f t="shared" si="30"/>
        <v>-0.0124424289662014</v>
      </c>
    </row>
    <row r="1931" ht="14.25" customHeight="1" spans="2:4">
      <c r="B1931" s="137">
        <v>43388</v>
      </c>
      <c r="C1931" s="132">
        <v>10512.5</v>
      </c>
      <c r="D1931" s="135">
        <f t="shared" si="30"/>
        <v>0.00687277051129609</v>
      </c>
    </row>
    <row r="1932" ht="14.25" customHeight="1" spans="2:4">
      <c r="B1932" s="137">
        <v>43385</v>
      </c>
      <c r="C1932" s="132">
        <v>10472.5</v>
      </c>
      <c r="D1932" s="135">
        <f t="shared" si="30"/>
        <v>0.00381952733349245</v>
      </c>
    </row>
    <row r="1933" ht="14.25" customHeight="1" spans="2:4">
      <c r="B1933" s="137">
        <v>43384</v>
      </c>
      <c r="C1933" s="132">
        <v>10234.65</v>
      </c>
      <c r="D1933" s="135">
        <f t="shared" si="30"/>
        <v>0.023239680887964</v>
      </c>
    </row>
    <row r="1934" ht="14.25" customHeight="1" spans="2:4">
      <c r="B1934" s="137">
        <v>43383</v>
      </c>
      <c r="C1934" s="132">
        <v>10460.1</v>
      </c>
      <c r="D1934" s="135">
        <f t="shared" si="30"/>
        <v>-0.0215533312301031</v>
      </c>
    </row>
    <row r="1935" ht="14.25" customHeight="1" spans="2:4">
      <c r="B1935" s="137">
        <v>43382</v>
      </c>
      <c r="C1935" s="132">
        <v>10301.05</v>
      </c>
      <c r="D1935" s="135">
        <f t="shared" si="30"/>
        <v>0.0154401735745386</v>
      </c>
    </row>
    <row r="1936" ht="14.25" customHeight="1" spans="2:4">
      <c r="B1936" s="137">
        <v>43381</v>
      </c>
      <c r="C1936" s="132">
        <v>10348.05</v>
      </c>
      <c r="D1936" s="135">
        <f t="shared" si="30"/>
        <v>-0.00454191852571262</v>
      </c>
    </row>
    <row r="1937" ht="14.25" customHeight="1" spans="2:4">
      <c r="B1937" s="137">
        <v>43378</v>
      </c>
      <c r="C1937" s="132">
        <v>10316.45</v>
      </c>
      <c r="D1937" s="135">
        <f t="shared" si="30"/>
        <v>0.00306306917592769</v>
      </c>
    </row>
    <row r="1938" ht="14.25" customHeight="1" spans="2:4">
      <c r="B1938" s="137">
        <v>43377</v>
      </c>
      <c r="C1938" s="132">
        <v>10599.25</v>
      </c>
      <c r="D1938" s="135">
        <f t="shared" si="30"/>
        <v>-0.02668113309904</v>
      </c>
    </row>
    <row r="1939" ht="14.25" customHeight="1" spans="2:4">
      <c r="B1939" s="137">
        <v>43376</v>
      </c>
      <c r="C1939" s="132">
        <v>10858.25</v>
      </c>
      <c r="D1939" s="135">
        <f t="shared" si="30"/>
        <v>-0.0238528307968595</v>
      </c>
    </row>
    <row r="1940" ht="14.25" customHeight="1" spans="2:4">
      <c r="B1940" s="137">
        <v>43374</v>
      </c>
      <c r="C1940" s="132">
        <v>11008.3</v>
      </c>
      <c r="D1940" s="135">
        <f t="shared" si="30"/>
        <v>-0.0136306241654024</v>
      </c>
    </row>
    <row r="1941" ht="14.25" customHeight="1" spans="2:4">
      <c r="B1941" s="137">
        <v>43371</v>
      </c>
      <c r="C1941" s="132">
        <v>10930.45</v>
      </c>
      <c r="D1941" s="135">
        <f t="shared" si="30"/>
        <v>0.00712230512010015</v>
      </c>
    </row>
    <row r="1942" ht="14.25" customHeight="1" spans="2:4">
      <c r="B1942" s="137">
        <v>43370</v>
      </c>
      <c r="C1942" s="132">
        <v>10977.55</v>
      </c>
      <c r="D1942" s="135">
        <f t="shared" si="30"/>
        <v>-0.00429057485504492</v>
      </c>
    </row>
    <row r="1943" ht="14.25" customHeight="1" spans="2:4">
      <c r="B1943" s="137">
        <v>43369</v>
      </c>
      <c r="C1943" s="132">
        <v>11053.8</v>
      </c>
      <c r="D1943" s="135">
        <f t="shared" si="30"/>
        <v>-0.00689808029817796</v>
      </c>
    </row>
    <row r="1944" ht="14.25" customHeight="1" spans="2:4">
      <c r="B1944" s="137">
        <v>43368</v>
      </c>
      <c r="C1944" s="132">
        <v>11067.45</v>
      </c>
      <c r="D1944" s="135">
        <f t="shared" si="30"/>
        <v>-0.00123334643481576</v>
      </c>
    </row>
    <row r="1945" ht="14.25" customHeight="1" spans="2:4">
      <c r="B1945" s="137">
        <v>43367</v>
      </c>
      <c r="C1945" s="132">
        <v>10967.4</v>
      </c>
      <c r="D1945" s="135">
        <f t="shared" si="30"/>
        <v>0.00912249028940315</v>
      </c>
    </row>
    <row r="1946" ht="14.25" customHeight="1" spans="2:4">
      <c r="B1946" s="137">
        <v>43364</v>
      </c>
      <c r="C1946" s="132">
        <v>11143.1</v>
      </c>
      <c r="D1946" s="135">
        <f t="shared" si="30"/>
        <v>-0.0157676050650178</v>
      </c>
    </row>
    <row r="1947" ht="14.25" customHeight="1" spans="2:4">
      <c r="B1947" s="137">
        <v>43362</v>
      </c>
      <c r="C1947" s="132">
        <v>11234.35</v>
      </c>
      <c r="D1947" s="135">
        <f t="shared" si="30"/>
        <v>-0.00812241028630944</v>
      </c>
    </row>
    <row r="1948" ht="14.25" customHeight="1" spans="2:4">
      <c r="B1948" s="137">
        <v>43361</v>
      </c>
      <c r="C1948" s="132">
        <v>11278.9</v>
      </c>
      <c r="D1948" s="135">
        <f t="shared" si="30"/>
        <v>-0.00394985326583264</v>
      </c>
    </row>
    <row r="1949" ht="14.25" customHeight="1" spans="2:4">
      <c r="B1949" s="137">
        <v>43360</v>
      </c>
      <c r="C1949" s="132">
        <v>11377.75</v>
      </c>
      <c r="D1949" s="135">
        <f t="shared" si="30"/>
        <v>-0.00868800949221071</v>
      </c>
    </row>
    <row r="1950" ht="14.25" customHeight="1" spans="2:4">
      <c r="B1950" s="137">
        <v>43357</v>
      </c>
      <c r="C1950" s="132">
        <v>11515.2</v>
      </c>
      <c r="D1950" s="135">
        <f t="shared" si="30"/>
        <v>-0.011936397109907</v>
      </c>
    </row>
    <row r="1951" ht="14.25" customHeight="1" spans="2:4">
      <c r="B1951" s="137">
        <v>43355</v>
      </c>
      <c r="C1951" s="132">
        <v>11369.9</v>
      </c>
      <c r="D1951" s="135">
        <f t="shared" si="30"/>
        <v>0.0127793560189624</v>
      </c>
    </row>
    <row r="1952" ht="14.25" customHeight="1" spans="2:4">
      <c r="B1952" s="137">
        <v>43354</v>
      </c>
      <c r="C1952" s="132">
        <v>11287.5</v>
      </c>
      <c r="D1952" s="135">
        <f t="shared" si="30"/>
        <v>0.00730011074197123</v>
      </c>
    </row>
    <row r="1953" ht="14.25" customHeight="1" spans="2:4">
      <c r="B1953" s="137">
        <v>43353</v>
      </c>
      <c r="C1953" s="132">
        <v>11438.1</v>
      </c>
      <c r="D1953" s="135">
        <f t="shared" si="30"/>
        <v>-0.0131665224119391</v>
      </c>
    </row>
    <row r="1954" ht="14.25" customHeight="1" spans="2:4">
      <c r="B1954" s="137">
        <v>43350</v>
      </c>
      <c r="C1954" s="132">
        <v>11589.1</v>
      </c>
      <c r="D1954" s="135">
        <f t="shared" si="30"/>
        <v>-0.0130294846019104</v>
      </c>
    </row>
    <row r="1955" ht="14.25" customHeight="1" spans="2:4">
      <c r="B1955" s="137">
        <v>43349</v>
      </c>
      <c r="C1955" s="132">
        <v>11536.9</v>
      </c>
      <c r="D1955" s="135">
        <f t="shared" si="30"/>
        <v>0.00452461233086887</v>
      </c>
    </row>
    <row r="1956" ht="14.25" customHeight="1" spans="2:4">
      <c r="B1956" s="137">
        <v>43348</v>
      </c>
      <c r="C1956" s="132">
        <v>11476.95</v>
      </c>
      <c r="D1956" s="135">
        <f t="shared" si="30"/>
        <v>0.00522351321561909</v>
      </c>
    </row>
    <row r="1957" ht="14.25" customHeight="1" spans="2:4">
      <c r="B1957" s="137">
        <v>43347</v>
      </c>
      <c r="C1957" s="132">
        <v>11520.3</v>
      </c>
      <c r="D1957" s="135">
        <f t="shared" si="30"/>
        <v>-0.00376292284055091</v>
      </c>
    </row>
    <row r="1958" ht="14.25" customHeight="1" spans="2:4">
      <c r="B1958" s="137">
        <v>43346</v>
      </c>
      <c r="C1958" s="132">
        <v>11582.35</v>
      </c>
      <c r="D1958" s="135">
        <f t="shared" si="30"/>
        <v>-0.00535728932384194</v>
      </c>
    </row>
    <row r="1959" ht="14.25" customHeight="1" spans="2:4">
      <c r="B1959" s="137">
        <v>43343</v>
      </c>
      <c r="C1959" s="132">
        <v>11680.5</v>
      </c>
      <c r="D1959" s="135">
        <f t="shared" si="30"/>
        <v>-0.00840289371174174</v>
      </c>
    </row>
    <row r="1960" ht="14.25" customHeight="1" spans="2:4">
      <c r="B1960" s="137">
        <v>43342</v>
      </c>
      <c r="C1960" s="132">
        <v>11676.8</v>
      </c>
      <c r="D1960" s="135">
        <f t="shared" si="30"/>
        <v>0.000316867634968521</v>
      </c>
    </row>
    <row r="1961" ht="14.25" customHeight="1" spans="2:4">
      <c r="B1961" s="137">
        <v>43341</v>
      </c>
      <c r="C1961" s="132">
        <v>11691.9</v>
      </c>
      <c r="D1961" s="135">
        <f t="shared" si="30"/>
        <v>-0.00129149240072191</v>
      </c>
    </row>
    <row r="1962" ht="14.25" customHeight="1" spans="2:4">
      <c r="B1962" s="137">
        <v>43340</v>
      </c>
      <c r="C1962" s="132">
        <v>11738.5</v>
      </c>
      <c r="D1962" s="135">
        <f t="shared" si="30"/>
        <v>-0.00396984282489243</v>
      </c>
    </row>
    <row r="1963" ht="14.25" customHeight="1" spans="2:4">
      <c r="B1963" s="137">
        <v>43339</v>
      </c>
      <c r="C1963" s="132">
        <v>11691.95</v>
      </c>
      <c r="D1963" s="135">
        <f t="shared" si="30"/>
        <v>0.00398137179854507</v>
      </c>
    </row>
    <row r="1964" ht="14.25" customHeight="1" spans="2:4">
      <c r="B1964" s="137">
        <v>43336</v>
      </c>
      <c r="C1964" s="132">
        <v>11557.1</v>
      </c>
      <c r="D1964" s="135">
        <f t="shared" si="30"/>
        <v>0.0116681520450632</v>
      </c>
    </row>
    <row r="1965" ht="14.25" customHeight="1" spans="2:4">
      <c r="B1965" s="137">
        <v>43335</v>
      </c>
      <c r="C1965" s="132">
        <v>11582.75</v>
      </c>
      <c r="D1965" s="135">
        <f t="shared" si="30"/>
        <v>-0.00221450001079193</v>
      </c>
    </row>
    <row r="1966" ht="14.25" customHeight="1" spans="2:4">
      <c r="B1966" s="137">
        <v>43333</v>
      </c>
      <c r="C1966" s="132">
        <v>11570.9</v>
      </c>
      <c r="D1966" s="135">
        <f t="shared" si="30"/>
        <v>0.00102412085490333</v>
      </c>
    </row>
    <row r="1967" ht="14.25" customHeight="1" spans="2:4">
      <c r="B1967" s="137">
        <v>43332</v>
      </c>
      <c r="C1967" s="132">
        <v>11551.75</v>
      </c>
      <c r="D1967" s="135">
        <f t="shared" si="30"/>
        <v>0.00165775748263242</v>
      </c>
    </row>
    <row r="1968" ht="14.25" customHeight="1" spans="2:4">
      <c r="B1968" s="137">
        <v>43329</v>
      </c>
      <c r="C1968" s="132">
        <v>11470.75</v>
      </c>
      <c r="D1968" s="135">
        <f t="shared" si="30"/>
        <v>0.00706143887714394</v>
      </c>
    </row>
    <row r="1969" ht="14.25" customHeight="1" spans="2:4">
      <c r="B1969" s="137">
        <v>43328</v>
      </c>
      <c r="C1969" s="132">
        <v>11385.05</v>
      </c>
      <c r="D1969" s="135">
        <f t="shared" si="30"/>
        <v>0.00752741533853607</v>
      </c>
    </row>
    <row r="1970" ht="14.25" customHeight="1" spans="2:4">
      <c r="B1970" s="137">
        <v>43326</v>
      </c>
      <c r="C1970" s="132">
        <v>11435.1</v>
      </c>
      <c r="D1970" s="135">
        <f t="shared" si="30"/>
        <v>-0.00437687471032178</v>
      </c>
    </row>
    <row r="1971" ht="14.25" customHeight="1" spans="2:4">
      <c r="B1971" s="137">
        <v>43325</v>
      </c>
      <c r="C1971" s="132">
        <v>11355.75</v>
      </c>
      <c r="D1971" s="135">
        <f t="shared" si="30"/>
        <v>0.00698764942870356</v>
      </c>
    </row>
    <row r="1972" ht="14.25" customHeight="1" spans="2:4">
      <c r="B1972" s="137">
        <v>43322</v>
      </c>
      <c r="C1972" s="132">
        <v>11429.5</v>
      </c>
      <c r="D1972" s="135">
        <f t="shared" si="30"/>
        <v>-0.00645260072619103</v>
      </c>
    </row>
    <row r="1973" ht="14.25" customHeight="1" spans="2:4">
      <c r="B1973" s="137">
        <v>43321</v>
      </c>
      <c r="C1973" s="132">
        <v>11470.7</v>
      </c>
      <c r="D1973" s="135">
        <f t="shared" si="30"/>
        <v>-0.00359175987516025</v>
      </c>
    </row>
    <row r="1974" ht="14.25" customHeight="1" spans="2:4">
      <c r="B1974" s="137">
        <v>43320</v>
      </c>
      <c r="C1974" s="132">
        <v>11450</v>
      </c>
      <c r="D1974" s="135">
        <f t="shared" si="30"/>
        <v>0.00180786026200885</v>
      </c>
    </row>
    <row r="1975" ht="14.25" customHeight="1" spans="2:4">
      <c r="B1975" s="137">
        <v>43319</v>
      </c>
      <c r="C1975" s="132">
        <v>11389.45</v>
      </c>
      <c r="D1975" s="135">
        <f t="shared" si="30"/>
        <v>0.00531632343967448</v>
      </c>
    </row>
    <row r="1976" ht="14.25" customHeight="1" spans="2:4">
      <c r="B1976" s="137">
        <v>43318</v>
      </c>
      <c r="C1976" s="132">
        <v>11387.1</v>
      </c>
      <c r="D1976" s="135">
        <f t="shared" si="30"/>
        <v>0.000206373879214183</v>
      </c>
    </row>
    <row r="1977" ht="14.25" customHeight="1" spans="2:4">
      <c r="B1977" s="137">
        <v>43315</v>
      </c>
      <c r="C1977" s="132">
        <v>11360.8</v>
      </c>
      <c r="D1977" s="135">
        <f t="shared" si="30"/>
        <v>0.00231497781846368</v>
      </c>
    </row>
    <row r="1978" ht="14.25" customHeight="1" spans="2:4">
      <c r="B1978" s="137">
        <v>43314</v>
      </c>
      <c r="C1978" s="132">
        <v>11244.7</v>
      </c>
      <c r="D1978" s="135">
        <f t="shared" si="30"/>
        <v>0.0103248641582254</v>
      </c>
    </row>
    <row r="1979" ht="14.25" customHeight="1" spans="2:4">
      <c r="B1979" s="137">
        <v>43313</v>
      </c>
      <c r="C1979" s="132">
        <v>11346.2</v>
      </c>
      <c r="D1979" s="135">
        <f t="shared" si="30"/>
        <v>-0.00894572632246915</v>
      </c>
    </row>
    <row r="1980" ht="14.25" customHeight="1" spans="2:4">
      <c r="B1980" s="137">
        <v>43312</v>
      </c>
      <c r="C1980" s="132">
        <v>11356.5</v>
      </c>
      <c r="D1980" s="135">
        <f t="shared" si="30"/>
        <v>-0.000906969576894179</v>
      </c>
    </row>
    <row r="1981" ht="14.25" customHeight="1" spans="2:4">
      <c r="B1981" s="137">
        <v>43311</v>
      </c>
      <c r="C1981" s="132">
        <v>11319.55</v>
      </c>
      <c r="D1981" s="135">
        <f t="shared" si="30"/>
        <v>0.00326426403876479</v>
      </c>
    </row>
    <row r="1982" ht="14.25" customHeight="1" spans="2:4">
      <c r="B1982" s="137">
        <v>43308</v>
      </c>
      <c r="C1982" s="132">
        <v>11278.35</v>
      </c>
      <c r="D1982" s="135">
        <f t="shared" si="30"/>
        <v>0.00365301662033879</v>
      </c>
    </row>
    <row r="1983" ht="14.25" customHeight="1" spans="2:4">
      <c r="B1983" s="137">
        <v>43307</v>
      </c>
      <c r="C1983" s="132">
        <v>11167.3</v>
      </c>
      <c r="D1983" s="135">
        <f t="shared" si="30"/>
        <v>0.00994421211931273</v>
      </c>
    </row>
    <row r="1984" ht="14.25" customHeight="1" spans="2:4">
      <c r="B1984" s="137">
        <v>43306</v>
      </c>
      <c r="C1984" s="132">
        <v>11132</v>
      </c>
      <c r="D1984" s="135">
        <f t="shared" si="30"/>
        <v>0.00317103844771816</v>
      </c>
    </row>
    <row r="1985" ht="14.25" customHeight="1" spans="2:4">
      <c r="B1985" s="137">
        <v>43305</v>
      </c>
      <c r="C1985" s="132">
        <v>11134.3</v>
      </c>
      <c r="D1985" s="135">
        <f t="shared" si="30"/>
        <v>-0.000206568890725012</v>
      </c>
    </row>
    <row r="1986" ht="14.25" customHeight="1" spans="2:4">
      <c r="B1986" s="137">
        <v>43304</v>
      </c>
      <c r="C1986" s="132">
        <v>11084.75</v>
      </c>
      <c r="D1986" s="135">
        <f t="shared" si="30"/>
        <v>0.00447010532488323</v>
      </c>
    </row>
    <row r="1987" ht="14.25" customHeight="1" spans="2:4">
      <c r="B1987" s="137">
        <v>43301</v>
      </c>
      <c r="C1987" s="132">
        <v>11010.2</v>
      </c>
      <c r="D1987" s="135">
        <f t="shared" si="30"/>
        <v>0.00677099416904325</v>
      </c>
    </row>
    <row r="1988" ht="14.25" customHeight="1" spans="2:4">
      <c r="B1988" s="137">
        <v>43300</v>
      </c>
      <c r="C1988" s="132">
        <v>10957.1</v>
      </c>
      <c r="D1988" s="135">
        <f t="shared" si="30"/>
        <v>0.00484617280119748</v>
      </c>
    </row>
    <row r="1989" ht="14.25" customHeight="1" spans="2:4">
      <c r="B1989" s="137">
        <v>43299</v>
      </c>
      <c r="C1989" s="132">
        <v>10980.45</v>
      </c>
      <c r="D1989" s="135">
        <f t="shared" si="30"/>
        <v>-0.00212650665500957</v>
      </c>
    </row>
    <row r="1990" ht="14.25" customHeight="1" spans="2:4">
      <c r="B1990" s="137">
        <v>43298</v>
      </c>
      <c r="C1990" s="132">
        <v>11008.05</v>
      </c>
      <c r="D1990" s="135">
        <f t="shared" si="30"/>
        <v>-0.00250725605352431</v>
      </c>
    </row>
    <row r="1991" ht="14.25" customHeight="1" spans="2:4">
      <c r="B1991" s="137">
        <v>43297</v>
      </c>
      <c r="C1991" s="132">
        <v>10936.85</v>
      </c>
      <c r="D1991" s="135">
        <f t="shared" si="30"/>
        <v>0.00651010117172657</v>
      </c>
    </row>
    <row r="1992" ht="14.25" customHeight="1" spans="2:4">
      <c r="B1992" s="137">
        <v>43294</v>
      </c>
      <c r="C1992" s="132">
        <v>11018.9</v>
      </c>
      <c r="D1992" s="135">
        <f t="shared" si="30"/>
        <v>-0.00744629681728659</v>
      </c>
    </row>
    <row r="1993" ht="14.25" customHeight="1" spans="2:4">
      <c r="B1993" s="137">
        <v>43293</v>
      </c>
      <c r="C1993" s="132">
        <v>11023.2</v>
      </c>
      <c r="D1993" s="135">
        <f t="shared" ref="D1993:D2056" si="31">C1992/C1993-1</f>
        <v>-0.000390086363306619</v>
      </c>
    </row>
    <row r="1994" ht="14.25" customHeight="1" spans="2:4">
      <c r="B1994" s="137">
        <v>43292</v>
      </c>
      <c r="C1994" s="132">
        <v>10948.3</v>
      </c>
      <c r="D1994" s="135">
        <f t="shared" si="31"/>
        <v>0.00684124475946057</v>
      </c>
    </row>
    <row r="1995" ht="14.25" customHeight="1" spans="2:4">
      <c r="B1995" s="137">
        <v>43291</v>
      </c>
      <c r="C1995" s="132">
        <v>10947.25</v>
      </c>
      <c r="D1995" s="135">
        <f t="shared" si="31"/>
        <v>9.59144990750893e-5</v>
      </c>
    </row>
    <row r="1996" ht="14.25" customHeight="1" spans="2:4">
      <c r="B1996" s="137">
        <v>43290</v>
      </c>
      <c r="C1996" s="132">
        <v>10852.9</v>
      </c>
      <c r="D1996" s="135">
        <f t="shared" si="31"/>
        <v>0.00869352891853792</v>
      </c>
    </row>
    <row r="1997" ht="14.25" customHeight="1" spans="2:4">
      <c r="B1997" s="137">
        <v>43287</v>
      </c>
      <c r="C1997" s="132">
        <v>10772.65</v>
      </c>
      <c r="D1997" s="135">
        <f t="shared" si="31"/>
        <v>0.00744942052326958</v>
      </c>
    </row>
    <row r="1998" ht="14.25" customHeight="1" spans="2:4">
      <c r="B1998" s="137">
        <v>43286</v>
      </c>
      <c r="C1998" s="132">
        <v>10749.75</v>
      </c>
      <c r="D1998" s="135">
        <f t="shared" si="31"/>
        <v>0.00213028209958366</v>
      </c>
    </row>
    <row r="1999" ht="14.25" customHeight="1" spans="2:4">
      <c r="B1999" s="137">
        <v>43285</v>
      </c>
      <c r="C1999" s="132">
        <v>10769.9</v>
      </c>
      <c r="D1999" s="135">
        <f t="shared" si="31"/>
        <v>-0.00187095516207203</v>
      </c>
    </row>
    <row r="2000" ht="14.25" customHeight="1" spans="2:4">
      <c r="B2000" s="137">
        <v>43284</v>
      </c>
      <c r="C2000" s="132">
        <v>10699.9</v>
      </c>
      <c r="D2000" s="135">
        <f t="shared" si="31"/>
        <v>0.00654211721604869</v>
      </c>
    </row>
    <row r="2001" ht="14.25" customHeight="1" spans="2:4">
      <c r="B2001" s="137">
        <v>43283</v>
      </c>
      <c r="C2001" s="132">
        <v>10657.3</v>
      </c>
      <c r="D2001" s="135">
        <f t="shared" si="31"/>
        <v>0.00399726009402013</v>
      </c>
    </row>
    <row r="2002" ht="14.25" customHeight="1" spans="2:4">
      <c r="B2002" s="137">
        <v>43280</v>
      </c>
      <c r="C2002" s="132">
        <v>10714.3</v>
      </c>
      <c r="D2002" s="135">
        <f t="shared" si="31"/>
        <v>-0.00531999290667617</v>
      </c>
    </row>
    <row r="2003" ht="14.25" customHeight="1" spans="2:4">
      <c r="B2003" s="137">
        <v>43279</v>
      </c>
      <c r="C2003" s="132">
        <v>10589.1</v>
      </c>
      <c r="D2003" s="135">
        <f t="shared" si="31"/>
        <v>0.0118234788603375</v>
      </c>
    </row>
    <row r="2004" ht="14.25" customHeight="1" spans="2:4">
      <c r="B2004" s="137">
        <v>43278</v>
      </c>
      <c r="C2004" s="132">
        <v>10671.4</v>
      </c>
      <c r="D2004" s="135">
        <f t="shared" si="31"/>
        <v>-0.00771220271004736</v>
      </c>
    </row>
    <row r="2005" ht="14.25" customHeight="1" spans="2:4">
      <c r="B2005" s="137">
        <v>43277</v>
      </c>
      <c r="C2005" s="132">
        <v>10769.15</v>
      </c>
      <c r="D2005" s="135">
        <f t="shared" si="31"/>
        <v>-0.00907685379068912</v>
      </c>
    </row>
    <row r="2006" ht="14.25" customHeight="1" spans="2:4">
      <c r="B2006" s="137">
        <v>43276</v>
      </c>
      <c r="C2006" s="132">
        <v>10762.45</v>
      </c>
      <c r="D2006" s="135">
        <f t="shared" si="31"/>
        <v>0.000622534831752786</v>
      </c>
    </row>
    <row r="2007" ht="14.25" customHeight="1" spans="2:4">
      <c r="B2007" s="137">
        <v>43273</v>
      </c>
      <c r="C2007" s="132">
        <v>10821.85</v>
      </c>
      <c r="D2007" s="135">
        <f t="shared" si="31"/>
        <v>-0.00548889515193796</v>
      </c>
    </row>
    <row r="2008" ht="14.25" customHeight="1" spans="2:4">
      <c r="B2008" s="137">
        <v>43272</v>
      </c>
      <c r="C2008" s="132">
        <v>10741.1</v>
      </c>
      <c r="D2008" s="135">
        <f t="shared" si="31"/>
        <v>0.00751785198908861</v>
      </c>
    </row>
    <row r="2009" ht="14.25" customHeight="1" spans="2:4">
      <c r="B2009" s="137">
        <v>43271</v>
      </c>
      <c r="C2009" s="132">
        <v>10772.05</v>
      </c>
      <c r="D2009" s="135">
        <f t="shared" si="31"/>
        <v>-0.00287317641488838</v>
      </c>
    </row>
    <row r="2010" ht="14.25" customHeight="1" spans="2:4">
      <c r="B2010" s="137">
        <v>43270</v>
      </c>
      <c r="C2010" s="132">
        <v>10710.45</v>
      </c>
      <c r="D2010" s="135">
        <f t="shared" si="31"/>
        <v>0.00575139233178801</v>
      </c>
    </row>
    <row r="2011" ht="14.25" customHeight="1" spans="2:4">
      <c r="B2011" s="137">
        <v>43269</v>
      </c>
      <c r="C2011" s="132">
        <v>10799.85</v>
      </c>
      <c r="D2011" s="135">
        <f t="shared" si="31"/>
        <v>-0.00827789274851032</v>
      </c>
    </row>
    <row r="2012" ht="14.25" customHeight="1" spans="2:4">
      <c r="B2012" s="137">
        <v>43266</v>
      </c>
      <c r="C2012" s="132">
        <v>10817.7</v>
      </c>
      <c r="D2012" s="135">
        <f t="shared" si="31"/>
        <v>-0.00165007349066815</v>
      </c>
    </row>
    <row r="2013" ht="14.25" customHeight="1" spans="2:4">
      <c r="B2013" s="137">
        <v>43265</v>
      </c>
      <c r="C2013" s="132">
        <v>10808.05</v>
      </c>
      <c r="D2013" s="135">
        <f t="shared" si="31"/>
        <v>0.000892853012338213</v>
      </c>
    </row>
    <row r="2014" ht="14.25" customHeight="1" spans="2:4">
      <c r="B2014" s="137">
        <v>43264</v>
      </c>
      <c r="C2014" s="132">
        <v>10856.7</v>
      </c>
      <c r="D2014" s="135">
        <f t="shared" si="31"/>
        <v>-0.00448110383449862</v>
      </c>
    </row>
    <row r="2015" ht="14.25" customHeight="1" spans="2:4">
      <c r="B2015" s="137">
        <v>43263</v>
      </c>
      <c r="C2015" s="132">
        <v>10842.85</v>
      </c>
      <c r="D2015" s="135">
        <f t="shared" si="31"/>
        <v>0.00127733944488773</v>
      </c>
    </row>
    <row r="2016" ht="14.25" customHeight="1" spans="2:4">
      <c r="B2016" s="137">
        <v>43262</v>
      </c>
      <c r="C2016" s="132">
        <v>10786.95</v>
      </c>
      <c r="D2016" s="135">
        <f t="shared" si="31"/>
        <v>0.00518218773610712</v>
      </c>
    </row>
    <row r="2017" ht="14.25" customHeight="1" spans="2:4">
      <c r="B2017" s="137">
        <v>43259</v>
      </c>
      <c r="C2017" s="132">
        <v>10767.65</v>
      </c>
      <c r="D2017" s="135">
        <f t="shared" si="31"/>
        <v>0.00179240595673158</v>
      </c>
    </row>
    <row r="2018" ht="14.25" customHeight="1" spans="2:4">
      <c r="B2018" s="137">
        <v>43258</v>
      </c>
      <c r="C2018" s="132">
        <v>10768.35</v>
      </c>
      <c r="D2018" s="135">
        <f t="shared" si="31"/>
        <v>-6.5005316506328e-5</v>
      </c>
    </row>
    <row r="2019" ht="14.25" customHeight="1" spans="2:4">
      <c r="B2019" s="137">
        <v>43257</v>
      </c>
      <c r="C2019" s="132">
        <v>10684.65</v>
      </c>
      <c r="D2019" s="135">
        <f t="shared" si="31"/>
        <v>0.00783366792548201</v>
      </c>
    </row>
    <row r="2020" ht="14.25" customHeight="1" spans="2:4">
      <c r="B2020" s="137">
        <v>43256</v>
      </c>
      <c r="C2020" s="132">
        <v>10593.15</v>
      </c>
      <c r="D2020" s="135">
        <f t="shared" si="31"/>
        <v>0.00863765735404476</v>
      </c>
    </row>
    <row r="2021" ht="14.25" customHeight="1" spans="2:4">
      <c r="B2021" s="137">
        <v>43255</v>
      </c>
      <c r="C2021" s="132">
        <v>10628.5</v>
      </c>
      <c r="D2021" s="135">
        <f t="shared" si="31"/>
        <v>-0.00332596321211842</v>
      </c>
    </row>
    <row r="2022" ht="14.25" customHeight="1" spans="2:4">
      <c r="B2022" s="137">
        <v>43252</v>
      </c>
      <c r="C2022" s="132">
        <v>10696.2</v>
      </c>
      <c r="D2022" s="135">
        <f t="shared" si="31"/>
        <v>-0.00632935061049722</v>
      </c>
    </row>
    <row r="2023" ht="14.25" customHeight="1" spans="2:4">
      <c r="B2023" s="137">
        <v>43251</v>
      </c>
      <c r="C2023" s="132">
        <v>10736.15</v>
      </c>
      <c r="D2023" s="135">
        <f t="shared" si="31"/>
        <v>-0.00372107319662995</v>
      </c>
    </row>
    <row r="2024" ht="14.25" customHeight="1" spans="2:4">
      <c r="B2024" s="137">
        <v>43250</v>
      </c>
      <c r="C2024" s="132">
        <v>10614.35</v>
      </c>
      <c r="D2024" s="135">
        <f t="shared" si="31"/>
        <v>0.0114750314432819</v>
      </c>
    </row>
    <row r="2025" ht="14.25" customHeight="1" spans="2:4">
      <c r="B2025" s="137">
        <v>43249</v>
      </c>
      <c r="C2025" s="132">
        <v>10633.3</v>
      </c>
      <c r="D2025" s="135">
        <f t="shared" si="31"/>
        <v>-0.00178213724807907</v>
      </c>
    </row>
    <row r="2026" ht="14.25" customHeight="1" spans="2:4">
      <c r="B2026" s="137">
        <v>43248</v>
      </c>
      <c r="C2026" s="132">
        <v>10688.65</v>
      </c>
      <c r="D2026" s="135">
        <f t="shared" si="31"/>
        <v>-0.00517839016152655</v>
      </c>
    </row>
    <row r="2027" ht="14.25" customHeight="1" spans="2:4">
      <c r="B2027" s="137">
        <v>43245</v>
      </c>
      <c r="C2027" s="132">
        <v>10605.15</v>
      </c>
      <c r="D2027" s="135">
        <f t="shared" si="31"/>
        <v>0.00787353314191686</v>
      </c>
    </row>
    <row r="2028" ht="14.25" customHeight="1" spans="2:4">
      <c r="B2028" s="137">
        <v>43244</v>
      </c>
      <c r="C2028" s="132">
        <v>10513.85</v>
      </c>
      <c r="D2028" s="135">
        <f t="shared" si="31"/>
        <v>0.0086837837709306</v>
      </c>
    </row>
    <row r="2029" ht="14.25" customHeight="1" spans="2:4">
      <c r="B2029" s="137">
        <v>43243</v>
      </c>
      <c r="C2029" s="132">
        <v>10430.35</v>
      </c>
      <c r="D2029" s="135">
        <f t="shared" si="31"/>
        <v>0.00800548399622247</v>
      </c>
    </row>
    <row r="2030" ht="14.25" customHeight="1" spans="2:4">
      <c r="B2030" s="137">
        <v>43242</v>
      </c>
      <c r="C2030" s="132">
        <v>10536.7</v>
      </c>
      <c r="D2030" s="135">
        <f t="shared" si="31"/>
        <v>-0.0100932929664886</v>
      </c>
    </row>
    <row r="2031" ht="14.25" customHeight="1" spans="2:4">
      <c r="B2031" s="137">
        <v>43241</v>
      </c>
      <c r="C2031" s="132">
        <v>10516.7</v>
      </c>
      <c r="D2031" s="135">
        <f t="shared" si="31"/>
        <v>0.00190173723696607</v>
      </c>
    </row>
    <row r="2032" ht="14.25" customHeight="1" spans="2:4">
      <c r="B2032" s="137">
        <v>43238</v>
      </c>
      <c r="C2032" s="132">
        <v>10596.4</v>
      </c>
      <c r="D2032" s="135">
        <f t="shared" si="31"/>
        <v>-0.00752142236986131</v>
      </c>
    </row>
    <row r="2033" ht="14.25" customHeight="1" spans="2:4">
      <c r="B2033" s="137">
        <v>43237</v>
      </c>
      <c r="C2033" s="132">
        <v>10682.7</v>
      </c>
      <c r="D2033" s="135">
        <f t="shared" si="31"/>
        <v>-0.00807848203169625</v>
      </c>
    </row>
    <row r="2034" ht="14.25" customHeight="1" spans="2:4">
      <c r="B2034" s="137">
        <v>43236</v>
      </c>
      <c r="C2034" s="132">
        <v>10741.1</v>
      </c>
      <c r="D2034" s="135">
        <f t="shared" si="31"/>
        <v>-0.00543705951904361</v>
      </c>
    </row>
    <row r="2035" ht="14.25" customHeight="1" spans="2:4">
      <c r="B2035" s="137">
        <v>43235</v>
      </c>
      <c r="C2035" s="132">
        <v>10801.85</v>
      </c>
      <c r="D2035" s="135">
        <f t="shared" si="31"/>
        <v>-0.0056240366233562</v>
      </c>
    </row>
    <row r="2036" ht="14.25" customHeight="1" spans="2:4">
      <c r="B2036" s="137">
        <v>43234</v>
      </c>
      <c r="C2036" s="132">
        <v>10806.6</v>
      </c>
      <c r="D2036" s="135">
        <f t="shared" si="31"/>
        <v>-0.000439546203246155</v>
      </c>
    </row>
    <row r="2037" ht="14.25" customHeight="1" spans="2:4">
      <c r="B2037" s="137">
        <v>43231</v>
      </c>
      <c r="C2037" s="132">
        <v>10806.5</v>
      </c>
      <c r="D2037" s="135">
        <f t="shared" si="31"/>
        <v>9.25368990878361e-6</v>
      </c>
    </row>
    <row r="2038" ht="14.25" customHeight="1" spans="2:4">
      <c r="B2038" s="137">
        <v>43230</v>
      </c>
      <c r="C2038" s="132">
        <v>10716.55</v>
      </c>
      <c r="D2038" s="135">
        <f t="shared" si="31"/>
        <v>0.00839355949442688</v>
      </c>
    </row>
    <row r="2039" ht="14.25" customHeight="1" spans="2:4">
      <c r="B2039" s="137">
        <v>43229</v>
      </c>
      <c r="C2039" s="132">
        <v>10741.7</v>
      </c>
      <c r="D2039" s="135">
        <f t="shared" si="31"/>
        <v>-0.00234134261802144</v>
      </c>
    </row>
    <row r="2040" ht="14.25" customHeight="1" spans="2:4">
      <c r="B2040" s="137">
        <v>43228</v>
      </c>
      <c r="C2040" s="132">
        <v>10717.8</v>
      </c>
      <c r="D2040" s="135">
        <f t="shared" si="31"/>
        <v>0.00222993524790538</v>
      </c>
    </row>
    <row r="2041" ht="14.25" customHeight="1" spans="2:4">
      <c r="B2041" s="137">
        <v>43227</v>
      </c>
      <c r="C2041" s="132">
        <v>10715.5</v>
      </c>
      <c r="D2041" s="135">
        <f t="shared" si="31"/>
        <v>0.000214642340534699</v>
      </c>
    </row>
    <row r="2042" ht="14.25" customHeight="1" spans="2:4">
      <c r="B2042" s="137">
        <v>43224</v>
      </c>
      <c r="C2042" s="132">
        <v>10618.25</v>
      </c>
      <c r="D2042" s="135">
        <f t="shared" si="31"/>
        <v>0.00915875968262192</v>
      </c>
    </row>
    <row r="2043" ht="14.25" customHeight="1" spans="2:4">
      <c r="B2043" s="137">
        <v>43223</v>
      </c>
      <c r="C2043" s="132">
        <v>10679.65</v>
      </c>
      <c r="D2043" s="135">
        <f t="shared" si="31"/>
        <v>-0.00574925208223109</v>
      </c>
    </row>
    <row r="2044" ht="14.25" customHeight="1" spans="2:4">
      <c r="B2044" s="137">
        <v>43222</v>
      </c>
      <c r="C2044" s="132">
        <v>10718.05</v>
      </c>
      <c r="D2044" s="135">
        <f t="shared" si="31"/>
        <v>-0.00358274126356939</v>
      </c>
    </row>
    <row r="2045" ht="14.25" customHeight="1" spans="2:4">
      <c r="B2045" s="137">
        <v>43220</v>
      </c>
      <c r="C2045" s="132">
        <v>10739.35</v>
      </c>
      <c r="D2045" s="135">
        <f t="shared" si="31"/>
        <v>-0.00198336025923362</v>
      </c>
    </row>
    <row r="2046" ht="14.25" customHeight="1" spans="2:4">
      <c r="B2046" s="137">
        <v>43217</v>
      </c>
      <c r="C2046" s="132">
        <v>10692.3</v>
      </c>
      <c r="D2046" s="135">
        <f t="shared" si="31"/>
        <v>0.00440036287795897</v>
      </c>
    </row>
    <row r="2047" ht="14.25" customHeight="1" spans="2:4">
      <c r="B2047" s="137">
        <v>43216</v>
      </c>
      <c r="C2047" s="132">
        <v>10617.8</v>
      </c>
      <c r="D2047" s="135">
        <f t="shared" si="31"/>
        <v>0.00701651942963699</v>
      </c>
    </row>
    <row r="2048" ht="14.25" customHeight="1" spans="2:4">
      <c r="B2048" s="137">
        <v>43215</v>
      </c>
      <c r="C2048" s="132">
        <v>10570.55</v>
      </c>
      <c r="D2048" s="135">
        <f t="shared" si="31"/>
        <v>0.00446996608501915</v>
      </c>
    </row>
    <row r="2049" ht="14.25" customHeight="1" spans="2:4">
      <c r="B2049" s="137">
        <v>43214</v>
      </c>
      <c r="C2049" s="132">
        <v>10614.35</v>
      </c>
      <c r="D2049" s="135">
        <f t="shared" si="31"/>
        <v>-0.00412648913970248</v>
      </c>
    </row>
    <row r="2050" ht="14.25" customHeight="1" spans="2:4">
      <c r="B2050" s="137">
        <v>43213</v>
      </c>
      <c r="C2050" s="132">
        <v>10584.7</v>
      </c>
      <c r="D2050" s="135">
        <f t="shared" si="31"/>
        <v>0.00280121307169789</v>
      </c>
    </row>
    <row r="2051" ht="14.25" customHeight="1" spans="2:4">
      <c r="B2051" s="137">
        <v>43210</v>
      </c>
      <c r="C2051" s="132">
        <v>10564.05</v>
      </c>
      <c r="D2051" s="135">
        <f t="shared" si="31"/>
        <v>0.0019547427359774</v>
      </c>
    </row>
    <row r="2052" ht="14.25" customHeight="1" spans="2:4">
      <c r="B2052" s="137">
        <v>43209</v>
      </c>
      <c r="C2052" s="132">
        <v>10565.3</v>
      </c>
      <c r="D2052" s="135">
        <f t="shared" si="31"/>
        <v>-0.000118311832129736</v>
      </c>
    </row>
    <row r="2053" ht="14.25" customHeight="1" spans="2:4">
      <c r="B2053" s="137">
        <v>43208</v>
      </c>
      <c r="C2053" s="132">
        <v>10526.2</v>
      </c>
      <c r="D2053" s="135">
        <f t="shared" si="31"/>
        <v>0.00371454085994927</v>
      </c>
    </row>
    <row r="2054" ht="14.25" customHeight="1" spans="2:4">
      <c r="B2054" s="137">
        <v>43207</v>
      </c>
      <c r="C2054" s="132">
        <v>10548.7</v>
      </c>
      <c r="D2054" s="135">
        <f t="shared" si="31"/>
        <v>-0.0021329642515191</v>
      </c>
    </row>
    <row r="2055" ht="14.25" customHeight="1" spans="2:4">
      <c r="B2055" s="137">
        <v>43206</v>
      </c>
      <c r="C2055" s="132">
        <v>10528.35</v>
      </c>
      <c r="D2055" s="135">
        <f t="shared" si="31"/>
        <v>0.00193287647162199</v>
      </c>
    </row>
    <row r="2056" ht="14.25" customHeight="1" spans="2:4">
      <c r="B2056" s="137">
        <v>43203</v>
      </c>
      <c r="C2056" s="132">
        <v>10480.6</v>
      </c>
      <c r="D2056" s="135">
        <f t="shared" si="31"/>
        <v>0.00455603686811834</v>
      </c>
    </row>
    <row r="2057" ht="14.25" customHeight="1" spans="2:4">
      <c r="B2057" s="137">
        <v>43202</v>
      </c>
      <c r="C2057" s="132">
        <v>10458.65</v>
      </c>
      <c r="D2057" s="135">
        <f t="shared" ref="D2057:D2120" si="32">C2056/C2057-1</f>
        <v>0.00209874123333331</v>
      </c>
    </row>
    <row r="2058" ht="14.25" customHeight="1" spans="2:4">
      <c r="B2058" s="137">
        <v>43201</v>
      </c>
      <c r="C2058" s="132">
        <v>10417.15</v>
      </c>
      <c r="D2058" s="135">
        <f t="shared" si="32"/>
        <v>0.00398381515097701</v>
      </c>
    </row>
    <row r="2059" ht="14.25" customHeight="1" spans="2:4">
      <c r="B2059" s="137">
        <v>43200</v>
      </c>
      <c r="C2059" s="132">
        <v>10402.25</v>
      </c>
      <c r="D2059" s="135">
        <f t="shared" si="32"/>
        <v>0.00143238241726551</v>
      </c>
    </row>
    <row r="2060" ht="14.25" customHeight="1" spans="2:4">
      <c r="B2060" s="137">
        <v>43199</v>
      </c>
      <c r="C2060" s="132">
        <v>10379.35</v>
      </c>
      <c r="D2060" s="135">
        <f t="shared" si="32"/>
        <v>0.00220630386295873</v>
      </c>
    </row>
    <row r="2061" ht="14.25" customHeight="1" spans="2:4">
      <c r="B2061" s="137">
        <v>43196</v>
      </c>
      <c r="C2061" s="132">
        <v>10331.6</v>
      </c>
      <c r="D2061" s="135">
        <f t="shared" si="32"/>
        <v>0.00462174300205187</v>
      </c>
    </row>
    <row r="2062" ht="14.25" customHeight="1" spans="2:4">
      <c r="B2062" s="137">
        <v>43195</v>
      </c>
      <c r="C2062" s="132">
        <v>10325.15</v>
      </c>
      <c r="D2062" s="135">
        <f t="shared" si="32"/>
        <v>0.000624688261187556</v>
      </c>
    </row>
    <row r="2063" ht="14.25" customHeight="1" spans="2:4">
      <c r="B2063" s="137">
        <v>43194</v>
      </c>
      <c r="C2063" s="132">
        <v>10128.4</v>
      </c>
      <c r="D2063" s="135">
        <f t="shared" si="32"/>
        <v>0.0194255756091781</v>
      </c>
    </row>
    <row r="2064" ht="14.25" customHeight="1" spans="2:4">
      <c r="B2064" s="137">
        <v>43193</v>
      </c>
      <c r="C2064" s="132">
        <v>10245</v>
      </c>
      <c r="D2064" s="135">
        <f t="shared" si="32"/>
        <v>-0.0113811615422158</v>
      </c>
    </row>
    <row r="2065" ht="14.25" customHeight="1" spans="2:4">
      <c r="B2065" s="137">
        <v>43192</v>
      </c>
      <c r="C2065" s="132">
        <v>10211.8</v>
      </c>
      <c r="D2065" s="135">
        <f t="shared" si="32"/>
        <v>0.00325114083707101</v>
      </c>
    </row>
    <row r="2066" ht="14.25" customHeight="1" spans="2:4">
      <c r="B2066" s="137">
        <v>43187</v>
      </c>
      <c r="C2066" s="132">
        <v>10113.7</v>
      </c>
      <c r="D2066" s="135">
        <f t="shared" si="32"/>
        <v>0.00969971424898874</v>
      </c>
    </row>
    <row r="2067" ht="14.25" customHeight="1" spans="2:4">
      <c r="B2067" s="137">
        <v>43186</v>
      </c>
      <c r="C2067" s="132">
        <v>10184.15</v>
      </c>
      <c r="D2067" s="135">
        <f t="shared" si="32"/>
        <v>-0.00691761217185516</v>
      </c>
    </row>
    <row r="2068" ht="14.25" customHeight="1" spans="2:4">
      <c r="B2068" s="137">
        <v>43185</v>
      </c>
      <c r="C2068" s="132">
        <v>10130.65</v>
      </c>
      <c r="D2068" s="135">
        <f t="shared" si="32"/>
        <v>0.0052810036868316</v>
      </c>
    </row>
    <row r="2069" ht="14.25" customHeight="1" spans="2:4">
      <c r="B2069" s="137">
        <v>43182</v>
      </c>
      <c r="C2069" s="132">
        <v>9998.05</v>
      </c>
      <c r="D2069" s="135">
        <f t="shared" si="32"/>
        <v>0.0132625862043099</v>
      </c>
    </row>
    <row r="2070" ht="14.25" customHeight="1" spans="2:4">
      <c r="B2070" s="137">
        <v>43181</v>
      </c>
      <c r="C2070" s="132">
        <v>10114.75</v>
      </c>
      <c r="D2070" s="135">
        <f t="shared" si="32"/>
        <v>-0.0115376059714773</v>
      </c>
    </row>
    <row r="2071" ht="14.25" customHeight="1" spans="2:4">
      <c r="B2071" s="137">
        <v>43180</v>
      </c>
      <c r="C2071" s="132">
        <v>10155.25</v>
      </c>
      <c r="D2071" s="135">
        <f t="shared" si="32"/>
        <v>-0.00398808498067504</v>
      </c>
    </row>
    <row r="2072" ht="14.25" customHeight="1" spans="2:4">
      <c r="B2072" s="137">
        <v>43179</v>
      </c>
      <c r="C2072" s="132">
        <v>10124.35</v>
      </c>
      <c r="D2072" s="135">
        <f t="shared" si="32"/>
        <v>0.00305204778578383</v>
      </c>
    </row>
    <row r="2073" ht="14.25" customHeight="1" spans="2:4">
      <c r="B2073" s="137">
        <v>43178</v>
      </c>
      <c r="C2073" s="132">
        <v>10094.25</v>
      </c>
      <c r="D2073" s="135">
        <f t="shared" si="32"/>
        <v>0.00298189563365292</v>
      </c>
    </row>
    <row r="2074" ht="14.25" customHeight="1" spans="2:4">
      <c r="B2074" s="137">
        <v>43175</v>
      </c>
      <c r="C2074" s="132">
        <v>10195.15</v>
      </c>
      <c r="D2074" s="135">
        <f t="shared" si="32"/>
        <v>-0.00989686272394219</v>
      </c>
    </row>
    <row r="2075" ht="14.25" customHeight="1" spans="2:4">
      <c r="B2075" s="137">
        <v>43174</v>
      </c>
      <c r="C2075" s="132">
        <v>10360.15</v>
      </c>
      <c r="D2075" s="135">
        <f t="shared" si="32"/>
        <v>-0.0159264103318968</v>
      </c>
    </row>
    <row r="2076" ht="14.25" customHeight="1" spans="2:4">
      <c r="B2076" s="137">
        <v>43173</v>
      </c>
      <c r="C2076" s="132">
        <v>10410.9</v>
      </c>
      <c r="D2076" s="135">
        <f t="shared" si="32"/>
        <v>-0.00487469863316337</v>
      </c>
    </row>
    <row r="2077" ht="14.25" customHeight="1" spans="2:4">
      <c r="B2077" s="137">
        <v>43172</v>
      </c>
      <c r="C2077" s="132">
        <v>10426.85</v>
      </c>
      <c r="D2077" s="135">
        <f t="shared" si="32"/>
        <v>-0.00152970456082147</v>
      </c>
    </row>
    <row r="2078" ht="14.25" customHeight="1" spans="2:4">
      <c r="B2078" s="137">
        <v>43171</v>
      </c>
      <c r="C2078" s="132">
        <v>10421.4</v>
      </c>
      <c r="D2078" s="135">
        <f t="shared" si="32"/>
        <v>0.000522962365901103</v>
      </c>
    </row>
    <row r="2079" ht="14.25" customHeight="1" spans="2:4">
      <c r="B2079" s="137">
        <v>43168</v>
      </c>
      <c r="C2079" s="132">
        <v>10226.85</v>
      </c>
      <c r="D2079" s="135">
        <f t="shared" si="32"/>
        <v>0.0190234529693893</v>
      </c>
    </row>
    <row r="2080" ht="14.25" customHeight="1" spans="2:4">
      <c r="B2080" s="137">
        <v>43167</v>
      </c>
      <c r="C2080" s="132">
        <v>10242.65</v>
      </c>
      <c r="D2080" s="135">
        <f t="shared" si="32"/>
        <v>-0.00154256954987231</v>
      </c>
    </row>
    <row r="2081" ht="14.25" customHeight="1" spans="2:4">
      <c r="B2081" s="137">
        <v>43166</v>
      </c>
      <c r="C2081" s="132">
        <v>10154.2</v>
      </c>
      <c r="D2081" s="135">
        <f t="shared" si="32"/>
        <v>0.00871068129443953</v>
      </c>
    </row>
    <row r="2082" ht="14.25" customHeight="1" spans="2:4">
      <c r="B2082" s="137">
        <v>43165</v>
      </c>
      <c r="C2082" s="132">
        <v>10249.25</v>
      </c>
      <c r="D2082" s="135">
        <f t="shared" si="32"/>
        <v>-0.00927384930604669</v>
      </c>
    </row>
    <row r="2083" ht="14.25" customHeight="1" spans="2:4">
      <c r="B2083" s="137">
        <v>43164</v>
      </c>
      <c r="C2083" s="132">
        <v>10358.85</v>
      </c>
      <c r="D2083" s="135">
        <f t="shared" si="32"/>
        <v>-0.0105803250360803</v>
      </c>
    </row>
    <row r="2084" ht="14.25" customHeight="1" spans="2:4">
      <c r="B2084" s="137">
        <v>43160</v>
      </c>
      <c r="C2084" s="132">
        <v>10458.35</v>
      </c>
      <c r="D2084" s="135">
        <f t="shared" si="32"/>
        <v>-0.00951392906146764</v>
      </c>
    </row>
    <row r="2085" ht="14.25" customHeight="1" spans="2:4">
      <c r="B2085" s="137">
        <v>43159</v>
      </c>
      <c r="C2085" s="132">
        <v>10492.85</v>
      </c>
      <c r="D2085" s="135">
        <f t="shared" si="32"/>
        <v>-0.00328795322529152</v>
      </c>
    </row>
    <row r="2086" ht="14.25" customHeight="1" spans="2:4">
      <c r="B2086" s="137">
        <v>43158</v>
      </c>
      <c r="C2086" s="132">
        <v>10554.3</v>
      </c>
      <c r="D2086" s="135">
        <f t="shared" si="32"/>
        <v>-0.00582227149124048</v>
      </c>
    </row>
    <row r="2087" ht="14.25" customHeight="1" spans="2:4">
      <c r="B2087" s="137">
        <v>43157</v>
      </c>
      <c r="C2087" s="132">
        <v>10582.6</v>
      </c>
      <c r="D2087" s="135">
        <f t="shared" si="32"/>
        <v>-0.00267420104700178</v>
      </c>
    </row>
    <row r="2088" ht="14.25" customHeight="1" spans="2:4">
      <c r="B2088" s="137">
        <v>43154</v>
      </c>
      <c r="C2088" s="132">
        <v>10491.05</v>
      </c>
      <c r="D2088" s="135">
        <f t="shared" si="32"/>
        <v>0.00872648590941805</v>
      </c>
    </row>
    <row r="2089" ht="14.25" customHeight="1" spans="2:4">
      <c r="B2089" s="137">
        <v>43153</v>
      </c>
      <c r="C2089" s="132">
        <v>10382.7</v>
      </c>
      <c r="D2089" s="135">
        <f t="shared" si="32"/>
        <v>0.0104356284974041</v>
      </c>
    </row>
    <row r="2090" ht="14.25" customHeight="1" spans="2:4">
      <c r="B2090" s="137">
        <v>43152</v>
      </c>
      <c r="C2090" s="132">
        <v>10397.45</v>
      </c>
      <c r="D2090" s="135">
        <f t="shared" si="32"/>
        <v>-0.0014186170647611</v>
      </c>
    </row>
    <row r="2091" ht="14.25" customHeight="1" spans="2:4">
      <c r="B2091" s="137">
        <v>43151</v>
      </c>
      <c r="C2091" s="132">
        <v>10360.4</v>
      </c>
      <c r="D2091" s="135">
        <f t="shared" si="32"/>
        <v>0.003576116752249</v>
      </c>
    </row>
    <row r="2092" ht="14.25" customHeight="1" spans="2:4">
      <c r="B2092" s="137">
        <v>43150</v>
      </c>
      <c r="C2092" s="132">
        <v>10378.4</v>
      </c>
      <c r="D2092" s="135">
        <f t="shared" si="32"/>
        <v>-0.00173437138672627</v>
      </c>
    </row>
    <row r="2093" ht="14.25" customHeight="1" spans="2:4">
      <c r="B2093" s="137">
        <v>43147</v>
      </c>
      <c r="C2093" s="132">
        <v>10452.3</v>
      </c>
      <c r="D2093" s="135">
        <f t="shared" si="32"/>
        <v>-0.00707021421122622</v>
      </c>
    </row>
    <row r="2094" ht="14.25" customHeight="1" spans="2:4">
      <c r="B2094" s="137">
        <v>43146</v>
      </c>
      <c r="C2094" s="132">
        <v>10545.5</v>
      </c>
      <c r="D2094" s="135">
        <f t="shared" si="32"/>
        <v>-0.00883789294011672</v>
      </c>
    </row>
    <row r="2095" ht="14.25" customHeight="1" spans="2:4">
      <c r="B2095" s="137">
        <v>43145</v>
      </c>
      <c r="C2095" s="132">
        <v>10500.9</v>
      </c>
      <c r="D2095" s="135">
        <f t="shared" si="32"/>
        <v>0.00424725499719081</v>
      </c>
    </row>
    <row r="2096" ht="14.25" customHeight="1" spans="2:4">
      <c r="B2096" s="137">
        <v>43143</v>
      </c>
      <c r="C2096" s="132">
        <v>10539.75</v>
      </c>
      <c r="D2096" s="135">
        <f t="shared" si="32"/>
        <v>-0.00368604568419562</v>
      </c>
    </row>
    <row r="2097" ht="14.25" customHeight="1" spans="2:4">
      <c r="B2097" s="137">
        <v>43140</v>
      </c>
      <c r="C2097" s="132">
        <v>10454.95</v>
      </c>
      <c r="D2097" s="135">
        <f t="shared" si="32"/>
        <v>0.00811099048775921</v>
      </c>
    </row>
    <row r="2098" ht="14.25" customHeight="1" spans="2:4">
      <c r="B2098" s="137">
        <v>43139</v>
      </c>
      <c r="C2098" s="132">
        <v>10576.85</v>
      </c>
      <c r="D2098" s="135">
        <f t="shared" si="32"/>
        <v>-0.0115251705375419</v>
      </c>
    </row>
    <row r="2099" ht="14.25" customHeight="1" spans="2:4">
      <c r="B2099" s="137">
        <v>43138</v>
      </c>
      <c r="C2099" s="132">
        <v>10476.7</v>
      </c>
      <c r="D2099" s="135">
        <f t="shared" si="32"/>
        <v>0.00955930779730263</v>
      </c>
    </row>
    <row r="2100" ht="14.25" customHeight="1" spans="2:4">
      <c r="B2100" s="137">
        <v>43137</v>
      </c>
      <c r="C2100" s="132">
        <v>10498.25</v>
      </c>
      <c r="D2100" s="135">
        <f t="shared" si="32"/>
        <v>-0.00205272307289306</v>
      </c>
    </row>
    <row r="2101" ht="14.25" customHeight="1" spans="2:4">
      <c r="B2101" s="137">
        <v>43136</v>
      </c>
      <c r="C2101" s="132">
        <v>10666.55</v>
      </c>
      <c r="D2101" s="135">
        <f t="shared" si="32"/>
        <v>-0.0157782975751296</v>
      </c>
    </row>
    <row r="2102" ht="14.25" customHeight="1" spans="2:4">
      <c r="B2102" s="137">
        <v>43133</v>
      </c>
      <c r="C2102" s="132">
        <v>10760.6</v>
      </c>
      <c r="D2102" s="135">
        <f t="shared" si="32"/>
        <v>-0.00874021894689903</v>
      </c>
    </row>
    <row r="2103" ht="14.25" customHeight="1" spans="2:4">
      <c r="B2103" s="137">
        <v>43132</v>
      </c>
      <c r="C2103" s="132">
        <v>11016.9</v>
      </c>
      <c r="D2103" s="135">
        <f t="shared" si="32"/>
        <v>-0.023264257640534</v>
      </c>
    </row>
    <row r="2104" ht="14.25" customHeight="1" spans="2:4">
      <c r="B2104" s="137">
        <v>43131</v>
      </c>
      <c r="C2104" s="132">
        <v>11027.7</v>
      </c>
      <c r="D2104" s="135">
        <f t="shared" si="32"/>
        <v>-0.000979351995429756</v>
      </c>
    </row>
    <row r="2105" ht="14.25" customHeight="1" spans="2:4">
      <c r="B2105" s="137">
        <v>43130</v>
      </c>
      <c r="C2105" s="132">
        <v>11049.65</v>
      </c>
      <c r="D2105" s="135">
        <f t="shared" si="32"/>
        <v>-0.00198648825980907</v>
      </c>
    </row>
    <row r="2106" ht="14.25" customHeight="1" spans="2:4">
      <c r="B2106" s="137">
        <v>43129</v>
      </c>
      <c r="C2106" s="132">
        <v>11130.4</v>
      </c>
      <c r="D2106" s="135">
        <f t="shared" si="32"/>
        <v>-0.00725490548407959</v>
      </c>
    </row>
    <row r="2107" ht="14.25" customHeight="1" spans="2:4">
      <c r="B2107" s="137">
        <v>43125</v>
      </c>
      <c r="C2107" s="132">
        <v>11069.65</v>
      </c>
      <c r="D2107" s="135">
        <f t="shared" si="32"/>
        <v>0.0054879783913675</v>
      </c>
    </row>
    <row r="2108" ht="14.25" customHeight="1" spans="2:4">
      <c r="B2108" s="137">
        <v>43124</v>
      </c>
      <c r="C2108" s="132">
        <v>11086</v>
      </c>
      <c r="D2108" s="135">
        <f t="shared" si="32"/>
        <v>-0.00147483312285768</v>
      </c>
    </row>
    <row r="2109" ht="14.25" customHeight="1" spans="2:4">
      <c r="B2109" s="137">
        <v>43123</v>
      </c>
      <c r="C2109" s="132">
        <v>11083.7</v>
      </c>
      <c r="D2109" s="135">
        <f t="shared" si="32"/>
        <v>0.000207511931936022</v>
      </c>
    </row>
    <row r="2110" ht="14.25" customHeight="1" spans="2:4">
      <c r="B2110" s="137">
        <v>43122</v>
      </c>
      <c r="C2110" s="132">
        <v>10966.2</v>
      </c>
      <c r="D2110" s="135">
        <f t="shared" si="32"/>
        <v>0.0107147416607394</v>
      </c>
    </row>
    <row r="2111" ht="14.25" customHeight="1" spans="2:4">
      <c r="B2111" s="137">
        <v>43119</v>
      </c>
      <c r="C2111" s="132">
        <v>10894.7</v>
      </c>
      <c r="D2111" s="135">
        <f t="shared" si="32"/>
        <v>0.00656282412549225</v>
      </c>
    </row>
    <row r="2112" ht="14.25" customHeight="1" spans="2:4">
      <c r="B2112" s="137">
        <v>43118</v>
      </c>
      <c r="C2112" s="132">
        <v>10817</v>
      </c>
      <c r="D2112" s="135">
        <f t="shared" si="32"/>
        <v>0.00718313765369327</v>
      </c>
    </row>
    <row r="2113" ht="14.25" customHeight="1" spans="2:4">
      <c r="B2113" s="137">
        <v>43117</v>
      </c>
      <c r="C2113" s="132">
        <v>10788.55</v>
      </c>
      <c r="D2113" s="135">
        <f t="shared" si="32"/>
        <v>0.00263705502593026</v>
      </c>
    </row>
    <row r="2114" ht="14.25" customHeight="1" spans="2:4">
      <c r="B2114" s="137">
        <v>43116</v>
      </c>
      <c r="C2114" s="132">
        <v>10700.45</v>
      </c>
      <c r="D2114" s="135">
        <f t="shared" si="32"/>
        <v>0.00823329859959143</v>
      </c>
    </row>
    <row r="2115" ht="14.25" customHeight="1" spans="2:4">
      <c r="B2115" s="137">
        <v>43115</v>
      </c>
      <c r="C2115" s="132">
        <v>10741.55</v>
      </c>
      <c r="D2115" s="135">
        <f t="shared" si="32"/>
        <v>-0.00382626343497894</v>
      </c>
    </row>
    <row r="2116" ht="14.25" customHeight="1" spans="2:4">
      <c r="B2116" s="137">
        <v>43112</v>
      </c>
      <c r="C2116" s="132">
        <v>10681.25</v>
      </c>
      <c r="D2116" s="135">
        <f t="shared" si="32"/>
        <v>0.00564540667056757</v>
      </c>
    </row>
    <row r="2117" ht="14.25" customHeight="1" spans="2:4">
      <c r="B2117" s="137">
        <v>43111</v>
      </c>
      <c r="C2117" s="132">
        <v>10651.2</v>
      </c>
      <c r="D2117" s="135">
        <f t="shared" si="32"/>
        <v>0.00282127835361257</v>
      </c>
    </row>
    <row r="2118" ht="14.25" customHeight="1" spans="2:4">
      <c r="B2118" s="137">
        <v>43110</v>
      </c>
      <c r="C2118" s="132">
        <v>10632.2</v>
      </c>
      <c r="D2118" s="135">
        <f t="shared" si="32"/>
        <v>0.00178702432234146</v>
      </c>
    </row>
    <row r="2119" ht="14.25" customHeight="1" spans="2:4">
      <c r="B2119" s="137">
        <v>43109</v>
      </c>
      <c r="C2119" s="132">
        <v>10637</v>
      </c>
      <c r="D2119" s="135">
        <f t="shared" si="32"/>
        <v>-0.000451255053116384</v>
      </c>
    </row>
    <row r="2120" ht="14.25" customHeight="1" spans="2:4">
      <c r="B2120" s="137">
        <v>43108</v>
      </c>
      <c r="C2120" s="132">
        <v>10623.6</v>
      </c>
      <c r="D2120" s="135">
        <f t="shared" si="32"/>
        <v>0.00126134267103417</v>
      </c>
    </row>
    <row r="2121" ht="14.25" customHeight="1" spans="2:4">
      <c r="B2121" s="137">
        <v>43105</v>
      </c>
      <c r="C2121" s="132">
        <v>10558.85</v>
      </c>
      <c r="D2121" s="135">
        <f t="shared" ref="D2121:D2184" si="33">C2120/C2121-1</f>
        <v>0.00613229660427028</v>
      </c>
    </row>
    <row r="2122" ht="14.25" customHeight="1" spans="2:4">
      <c r="B2122" s="137">
        <v>43104</v>
      </c>
      <c r="C2122" s="132">
        <v>10504.8</v>
      </c>
      <c r="D2122" s="135">
        <f t="shared" si="33"/>
        <v>0.00514526692559603</v>
      </c>
    </row>
    <row r="2123" ht="14.25" customHeight="1" spans="2:4">
      <c r="B2123" s="137">
        <v>43103</v>
      </c>
      <c r="C2123" s="132">
        <v>10443.2</v>
      </c>
      <c r="D2123" s="135">
        <f t="shared" si="33"/>
        <v>0.00589857514937941</v>
      </c>
    </row>
    <row r="2124" ht="14.25" customHeight="1" spans="2:4">
      <c r="B2124" s="137">
        <v>43102</v>
      </c>
      <c r="C2124" s="132">
        <v>10442.2</v>
      </c>
      <c r="D2124" s="135">
        <f t="shared" si="33"/>
        <v>9.57652601942804e-5</v>
      </c>
    </row>
    <row r="2125" ht="14.25" customHeight="1" spans="2:4">
      <c r="B2125" s="137">
        <v>43101</v>
      </c>
      <c r="C2125" s="132">
        <v>10435.55</v>
      </c>
      <c r="D2125" s="135">
        <f t="shared" si="33"/>
        <v>0.00063724480262195</v>
      </c>
    </row>
    <row r="2126" ht="14.25" customHeight="1" spans="2:4">
      <c r="B2126" s="137">
        <v>43098</v>
      </c>
      <c r="C2126" s="132">
        <v>10530.7</v>
      </c>
      <c r="D2126" s="135">
        <f t="shared" si="33"/>
        <v>-0.00903548671978138</v>
      </c>
    </row>
    <row r="2127" ht="14.25" customHeight="1" spans="2:4">
      <c r="B2127" s="137">
        <v>43097</v>
      </c>
      <c r="C2127" s="132">
        <v>10477.9</v>
      </c>
      <c r="D2127" s="135">
        <f t="shared" si="33"/>
        <v>0.00503917769782114</v>
      </c>
    </row>
    <row r="2128" ht="14.25" customHeight="1" spans="2:4">
      <c r="B2128" s="137">
        <v>43096</v>
      </c>
      <c r="C2128" s="132">
        <v>10490.75</v>
      </c>
      <c r="D2128" s="135">
        <f t="shared" si="33"/>
        <v>-0.00122488859233139</v>
      </c>
    </row>
    <row r="2129" ht="14.25" customHeight="1" spans="2:4">
      <c r="B2129" s="137">
        <v>43095</v>
      </c>
      <c r="C2129" s="132">
        <v>10531.5</v>
      </c>
      <c r="D2129" s="135">
        <f t="shared" si="33"/>
        <v>-0.00386934434790864</v>
      </c>
    </row>
    <row r="2130" ht="14.25" customHeight="1" spans="2:4">
      <c r="B2130" s="137">
        <v>43091</v>
      </c>
      <c r="C2130" s="132">
        <v>10493</v>
      </c>
      <c r="D2130" s="135">
        <f t="shared" si="33"/>
        <v>0.0036691127418278</v>
      </c>
    </row>
    <row r="2131" ht="14.25" customHeight="1" spans="2:4">
      <c r="B2131" s="137">
        <v>43090</v>
      </c>
      <c r="C2131" s="132">
        <v>10440.3</v>
      </c>
      <c r="D2131" s="135">
        <f t="shared" si="33"/>
        <v>0.00504774767008609</v>
      </c>
    </row>
    <row r="2132" ht="14.25" customHeight="1" spans="2:4">
      <c r="B2132" s="137">
        <v>43089</v>
      </c>
      <c r="C2132" s="132">
        <v>10444.2</v>
      </c>
      <c r="D2132" s="135">
        <f t="shared" si="33"/>
        <v>-0.000373412994772337</v>
      </c>
    </row>
    <row r="2133" ht="14.25" customHeight="1" spans="2:4">
      <c r="B2133" s="137">
        <v>43088</v>
      </c>
      <c r="C2133" s="132">
        <v>10463.2</v>
      </c>
      <c r="D2133" s="135">
        <f t="shared" si="33"/>
        <v>-0.00181588806483679</v>
      </c>
    </row>
    <row r="2134" ht="14.25" customHeight="1" spans="2:4">
      <c r="B2134" s="137">
        <v>43087</v>
      </c>
      <c r="C2134" s="132">
        <v>10388.75</v>
      </c>
      <c r="D2134" s="135">
        <f t="shared" si="33"/>
        <v>0.00716640596799434</v>
      </c>
    </row>
    <row r="2135" ht="14.25" customHeight="1" spans="2:4">
      <c r="B2135" s="137">
        <v>43084</v>
      </c>
      <c r="C2135" s="132">
        <v>10333.25</v>
      </c>
      <c r="D2135" s="135">
        <f t="shared" si="33"/>
        <v>0.00537101105654081</v>
      </c>
    </row>
    <row r="2136" ht="14.25" customHeight="1" spans="2:4">
      <c r="B2136" s="137">
        <v>43083</v>
      </c>
      <c r="C2136" s="132">
        <v>10252.1</v>
      </c>
      <c r="D2136" s="135">
        <f t="shared" si="33"/>
        <v>0.00791545146847961</v>
      </c>
    </row>
    <row r="2137" ht="14.25" customHeight="1" spans="2:4">
      <c r="B2137" s="137">
        <v>43082</v>
      </c>
      <c r="C2137" s="132">
        <v>10192.95</v>
      </c>
      <c r="D2137" s="135">
        <f t="shared" si="33"/>
        <v>0.00580303052600084</v>
      </c>
    </row>
    <row r="2138" ht="14.25" customHeight="1" spans="2:4">
      <c r="B2138" s="137">
        <v>43081</v>
      </c>
      <c r="C2138" s="132">
        <v>10240.15</v>
      </c>
      <c r="D2138" s="135">
        <f t="shared" si="33"/>
        <v>-0.00460930748084731</v>
      </c>
    </row>
    <row r="2139" ht="14.25" customHeight="1" spans="2:4">
      <c r="B2139" s="137">
        <v>43080</v>
      </c>
      <c r="C2139" s="132">
        <v>10322.25</v>
      </c>
      <c r="D2139" s="135">
        <f t="shared" si="33"/>
        <v>-0.0079536922667055</v>
      </c>
    </row>
    <row r="2140" ht="14.25" customHeight="1" spans="2:4">
      <c r="B2140" s="137">
        <v>43077</v>
      </c>
      <c r="C2140" s="132">
        <v>10265.65</v>
      </c>
      <c r="D2140" s="135">
        <f t="shared" si="33"/>
        <v>0.00551353299596236</v>
      </c>
    </row>
    <row r="2141" ht="14.25" customHeight="1" spans="2:4">
      <c r="B2141" s="137">
        <v>43076</v>
      </c>
      <c r="C2141" s="132">
        <v>10166.7</v>
      </c>
      <c r="D2141" s="135">
        <f t="shared" si="33"/>
        <v>0.00973275497457382</v>
      </c>
    </row>
    <row r="2142" ht="14.25" customHeight="1" spans="2:4">
      <c r="B2142" s="137">
        <v>43075</v>
      </c>
      <c r="C2142" s="132">
        <v>10044.1</v>
      </c>
      <c r="D2142" s="135">
        <f t="shared" si="33"/>
        <v>0.0122061707868302</v>
      </c>
    </row>
    <row r="2143" ht="14.25" customHeight="1" spans="2:4">
      <c r="B2143" s="137">
        <v>43074</v>
      </c>
      <c r="C2143" s="132">
        <v>10118.25</v>
      </c>
      <c r="D2143" s="135">
        <f t="shared" si="33"/>
        <v>-0.00732834235169122</v>
      </c>
    </row>
    <row r="2144" ht="14.25" customHeight="1" spans="2:4">
      <c r="B2144" s="137">
        <v>43073</v>
      </c>
      <c r="C2144" s="132">
        <v>10127.75</v>
      </c>
      <c r="D2144" s="135">
        <f t="shared" si="33"/>
        <v>-0.000938016834933775</v>
      </c>
    </row>
    <row r="2145" ht="14.25" customHeight="1" spans="2:4">
      <c r="B2145" s="137">
        <v>43070</v>
      </c>
      <c r="C2145" s="132">
        <v>10121.8</v>
      </c>
      <c r="D2145" s="135">
        <f t="shared" si="33"/>
        <v>0.0005878401074908</v>
      </c>
    </row>
    <row r="2146" ht="14.25" customHeight="1" spans="2:4">
      <c r="B2146" s="137">
        <v>43069</v>
      </c>
      <c r="C2146" s="132">
        <v>10226.55</v>
      </c>
      <c r="D2146" s="135">
        <f t="shared" si="33"/>
        <v>-0.0102429460570769</v>
      </c>
    </row>
    <row r="2147" ht="14.25" customHeight="1" spans="2:4">
      <c r="B2147" s="137">
        <v>43068</v>
      </c>
      <c r="C2147" s="132">
        <v>10361.3</v>
      </c>
      <c r="D2147" s="135">
        <f t="shared" si="33"/>
        <v>-0.0130051248395472</v>
      </c>
    </row>
    <row r="2148" ht="14.25" customHeight="1" spans="2:4">
      <c r="B2148" s="137">
        <v>43067</v>
      </c>
      <c r="C2148" s="132">
        <v>10370.25</v>
      </c>
      <c r="D2148" s="135">
        <f t="shared" si="33"/>
        <v>-0.000863045731780865</v>
      </c>
    </row>
    <row r="2149" ht="14.25" customHeight="1" spans="2:4">
      <c r="B2149" s="137">
        <v>43066</v>
      </c>
      <c r="C2149" s="132">
        <v>10399.55</v>
      </c>
      <c r="D2149" s="135">
        <f t="shared" si="33"/>
        <v>-0.00281742960031917</v>
      </c>
    </row>
    <row r="2150" ht="14.25" customHeight="1" spans="2:4">
      <c r="B2150" s="137">
        <v>43063</v>
      </c>
      <c r="C2150" s="132">
        <v>10389.7</v>
      </c>
      <c r="D2150" s="135">
        <f t="shared" si="33"/>
        <v>0.000948054323031355</v>
      </c>
    </row>
    <row r="2151" ht="14.25" customHeight="1" spans="2:4">
      <c r="B2151" s="137">
        <v>43062</v>
      </c>
      <c r="C2151" s="132">
        <v>10348.75</v>
      </c>
      <c r="D2151" s="135">
        <f t="shared" si="33"/>
        <v>0.0039569996376374</v>
      </c>
    </row>
    <row r="2152" ht="14.25" customHeight="1" spans="2:4">
      <c r="B2152" s="137">
        <v>43061</v>
      </c>
      <c r="C2152" s="132">
        <v>10342.3</v>
      </c>
      <c r="D2152" s="135">
        <f t="shared" si="33"/>
        <v>0.000623652379064588</v>
      </c>
    </row>
    <row r="2153" ht="14.25" customHeight="1" spans="2:4">
      <c r="B2153" s="137">
        <v>43060</v>
      </c>
      <c r="C2153" s="132">
        <v>10326.9</v>
      </c>
      <c r="D2153" s="135">
        <f t="shared" si="33"/>
        <v>0.00149125100465763</v>
      </c>
    </row>
    <row r="2154" ht="14.25" customHeight="1" spans="2:4">
      <c r="B2154" s="137">
        <v>43059</v>
      </c>
      <c r="C2154" s="132">
        <v>10298.75</v>
      </c>
      <c r="D2154" s="135">
        <f t="shared" si="33"/>
        <v>0.0027333414249302</v>
      </c>
    </row>
    <row r="2155" ht="14.25" customHeight="1" spans="2:4">
      <c r="B2155" s="137">
        <v>43056</v>
      </c>
      <c r="C2155" s="132">
        <v>10283.6</v>
      </c>
      <c r="D2155" s="135">
        <f t="shared" si="33"/>
        <v>0.00147321949511836</v>
      </c>
    </row>
    <row r="2156" ht="14.25" customHeight="1" spans="2:4">
      <c r="B2156" s="137">
        <v>43055</v>
      </c>
      <c r="C2156" s="132">
        <v>10214.75</v>
      </c>
      <c r="D2156" s="135">
        <f t="shared" si="33"/>
        <v>0.00674025306542014</v>
      </c>
    </row>
    <row r="2157" ht="14.25" customHeight="1" spans="2:4">
      <c r="B2157" s="137">
        <v>43054</v>
      </c>
      <c r="C2157" s="132">
        <v>10118.05</v>
      </c>
      <c r="D2157" s="135">
        <f t="shared" si="33"/>
        <v>0.00955717751938367</v>
      </c>
    </row>
    <row r="2158" ht="14.25" customHeight="1" spans="2:4">
      <c r="B2158" s="137">
        <v>43053</v>
      </c>
      <c r="C2158" s="132">
        <v>10186.6</v>
      </c>
      <c r="D2158" s="135">
        <f t="shared" si="33"/>
        <v>-0.00672942885751882</v>
      </c>
    </row>
    <row r="2159" ht="14.25" customHeight="1" spans="2:4">
      <c r="B2159" s="137">
        <v>43052</v>
      </c>
      <c r="C2159" s="132">
        <v>10224.95</v>
      </c>
      <c r="D2159" s="135">
        <f t="shared" si="33"/>
        <v>-0.00375062958743078</v>
      </c>
    </row>
    <row r="2160" ht="14.25" customHeight="1" spans="2:4">
      <c r="B2160" s="137">
        <v>43049</v>
      </c>
      <c r="C2160" s="132">
        <v>10321.75</v>
      </c>
      <c r="D2160" s="135">
        <f t="shared" si="33"/>
        <v>-0.00937825465642927</v>
      </c>
    </row>
    <row r="2161" ht="14.25" customHeight="1" spans="2:4">
      <c r="B2161" s="137">
        <v>43048</v>
      </c>
      <c r="C2161" s="132">
        <v>10308.95</v>
      </c>
      <c r="D2161" s="135">
        <f t="shared" si="33"/>
        <v>0.00124163954621959</v>
      </c>
    </row>
    <row r="2162" ht="14.25" customHeight="1" spans="2:4">
      <c r="B2162" s="137">
        <v>43047</v>
      </c>
      <c r="C2162" s="132">
        <v>10303.15</v>
      </c>
      <c r="D2162" s="135">
        <f t="shared" si="33"/>
        <v>0.000562934636494816</v>
      </c>
    </row>
    <row r="2163" ht="14.25" customHeight="1" spans="2:4">
      <c r="B2163" s="137">
        <v>43046</v>
      </c>
      <c r="C2163" s="132">
        <v>10350.15</v>
      </c>
      <c r="D2163" s="135">
        <f t="shared" si="33"/>
        <v>-0.0045409969903818</v>
      </c>
    </row>
    <row r="2164" ht="14.25" customHeight="1" spans="2:4">
      <c r="B2164" s="137">
        <v>43045</v>
      </c>
      <c r="C2164" s="132">
        <v>10451.8</v>
      </c>
      <c r="D2164" s="135">
        <f t="shared" si="33"/>
        <v>-0.00972559750473601</v>
      </c>
    </row>
    <row r="2165" ht="14.25" customHeight="1" spans="2:4">
      <c r="B2165" s="137">
        <v>43042</v>
      </c>
      <c r="C2165" s="132">
        <v>10452.5</v>
      </c>
      <c r="D2165" s="135">
        <f t="shared" si="33"/>
        <v>-6.69696244918194e-5</v>
      </c>
    </row>
    <row r="2166" ht="14.25" customHeight="1" spans="2:4">
      <c r="B2166" s="137">
        <v>43041</v>
      </c>
      <c r="C2166" s="132">
        <v>10423.8</v>
      </c>
      <c r="D2166" s="135">
        <f t="shared" si="33"/>
        <v>0.00275331453020988</v>
      </c>
    </row>
    <row r="2167" ht="14.25" customHeight="1" spans="2:4">
      <c r="B2167" s="137">
        <v>43040</v>
      </c>
      <c r="C2167" s="132">
        <v>10440.5</v>
      </c>
      <c r="D2167" s="135">
        <f t="shared" si="33"/>
        <v>-0.00159954025190367</v>
      </c>
    </row>
    <row r="2168" ht="14.25" customHeight="1" spans="2:4">
      <c r="B2168" s="137">
        <v>43039</v>
      </c>
      <c r="C2168" s="132">
        <v>10335.3</v>
      </c>
      <c r="D2168" s="135">
        <f t="shared" si="33"/>
        <v>0.0101787079233309</v>
      </c>
    </row>
    <row r="2169" ht="14.25" customHeight="1" spans="2:4">
      <c r="B2169" s="137">
        <v>43038</v>
      </c>
      <c r="C2169" s="132">
        <v>10363.65</v>
      </c>
      <c r="D2169" s="135">
        <f t="shared" si="33"/>
        <v>-0.00273552271641753</v>
      </c>
    </row>
    <row r="2170" ht="14.25" customHeight="1" spans="2:4">
      <c r="B2170" s="137">
        <v>43035</v>
      </c>
      <c r="C2170" s="132">
        <v>10323.05</v>
      </c>
      <c r="D2170" s="135">
        <f t="shared" si="33"/>
        <v>0.00393294617385376</v>
      </c>
    </row>
    <row r="2171" ht="14.25" customHeight="1" spans="2:4">
      <c r="B2171" s="137">
        <v>43034</v>
      </c>
      <c r="C2171" s="132">
        <v>10343.8</v>
      </c>
      <c r="D2171" s="135">
        <f t="shared" si="33"/>
        <v>-0.00200603259923815</v>
      </c>
    </row>
    <row r="2172" ht="14.25" customHeight="1" spans="2:4">
      <c r="B2172" s="137">
        <v>43033</v>
      </c>
      <c r="C2172" s="132">
        <v>10295.35</v>
      </c>
      <c r="D2172" s="135">
        <f t="shared" si="33"/>
        <v>0.0047060080521788</v>
      </c>
    </row>
    <row r="2173" ht="14.25" customHeight="1" spans="2:4">
      <c r="B2173" s="137">
        <v>43032</v>
      </c>
      <c r="C2173" s="132">
        <v>10207.7</v>
      </c>
      <c r="D2173" s="135">
        <f t="shared" si="33"/>
        <v>0.00858665517207591</v>
      </c>
    </row>
    <row r="2174" ht="14.25" customHeight="1" spans="2:4">
      <c r="B2174" s="137">
        <v>43031</v>
      </c>
      <c r="C2174" s="132">
        <v>10184.85</v>
      </c>
      <c r="D2174" s="135">
        <f t="shared" si="33"/>
        <v>0.00224352837793385</v>
      </c>
    </row>
    <row r="2175" ht="14.25" customHeight="1" spans="2:4">
      <c r="B2175" s="137">
        <v>43027</v>
      </c>
      <c r="C2175" s="132">
        <v>10146.55</v>
      </c>
      <c r="D2175" s="135">
        <f t="shared" si="33"/>
        <v>0.00377468203478037</v>
      </c>
    </row>
    <row r="2176" ht="14.25" customHeight="1" spans="2:4">
      <c r="B2176" s="137">
        <v>43026</v>
      </c>
      <c r="C2176" s="132">
        <v>10210.85</v>
      </c>
      <c r="D2176" s="135">
        <f t="shared" si="33"/>
        <v>-0.0062972230519498</v>
      </c>
    </row>
    <row r="2177" ht="14.25" customHeight="1" spans="2:4">
      <c r="B2177" s="137">
        <v>43025</v>
      </c>
      <c r="C2177" s="132">
        <v>10234.45</v>
      </c>
      <c r="D2177" s="135">
        <f t="shared" si="33"/>
        <v>-0.0023059373000015</v>
      </c>
    </row>
    <row r="2178" ht="14.25" customHeight="1" spans="2:4">
      <c r="B2178" s="137">
        <v>43024</v>
      </c>
      <c r="C2178" s="132">
        <v>10230.85</v>
      </c>
      <c r="D2178" s="135">
        <f t="shared" si="33"/>
        <v>0.000351876921272476</v>
      </c>
    </row>
    <row r="2179" ht="14.25" customHeight="1" spans="2:4">
      <c r="B2179" s="137">
        <v>43021</v>
      </c>
      <c r="C2179" s="132">
        <v>10167.45</v>
      </c>
      <c r="D2179" s="135">
        <f t="shared" si="33"/>
        <v>0.00623558512704747</v>
      </c>
    </row>
    <row r="2180" ht="14.25" customHeight="1" spans="2:4">
      <c r="B2180" s="137">
        <v>43020</v>
      </c>
      <c r="C2180" s="132">
        <v>10096.4</v>
      </c>
      <c r="D2180" s="135">
        <f t="shared" si="33"/>
        <v>0.00703716176062774</v>
      </c>
    </row>
    <row r="2181" ht="14.25" customHeight="1" spans="2:4">
      <c r="B2181" s="137">
        <v>43019</v>
      </c>
      <c r="C2181" s="132">
        <v>9984.8</v>
      </c>
      <c r="D2181" s="135">
        <f t="shared" si="33"/>
        <v>0.0111769890233155</v>
      </c>
    </row>
    <row r="2182" ht="14.25" customHeight="1" spans="2:4">
      <c r="B2182" s="137">
        <v>43018</v>
      </c>
      <c r="C2182" s="132">
        <v>10016.95</v>
      </c>
      <c r="D2182" s="135">
        <f t="shared" si="33"/>
        <v>-0.00320955979614568</v>
      </c>
    </row>
    <row r="2183" ht="14.25" customHeight="1" spans="2:4">
      <c r="B2183" s="137">
        <v>43017</v>
      </c>
      <c r="C2183" s="132">
        <v>9988.75</v>
      </c>
      <c r="D2183" s="135">
        <f t="shared" si="33"/>
        <v>0.00282317607308236</v>
      </c>
    </row>
    <row r="2184" ht="14.25" customHeight="1" spans="2:4">
      <c r="B2184" s="137">
        <v>43014</v>
      </c>
      <c r="C2184" s="132">
        <v>9979.7</v>
      </c>
      <c r="D2184" s="135">
        <f t="shared" si="33"/>
        <v>0.000906840887000548</v>
      </c>
    </row>
    <row r="2185" ht="14.25" customHeight="1" spans="2:4">
      <c r="B2185" s="137">
        <v>43013</v>
      </c>
      <c r="C2185" s="132">
        <v>9888.7</v>
      </c>
      <c r="D2185" s="135">
        <f t="shared" ref="D2185:D2248" si="34">C2184/C2185-1</f>
        <v>0.00920242296762974</v>
      </c>
    </row>
    <row r="2186" ht="14.25" customHeight="1" spans="2:4">
      <c r="B2186" s="137">
        <v>43012</v>
      </c>
      <c r="C2186" s="132">
        <v>9914.9</v>
      </c>
      <c r="D2186" s="135">
        <f t="shared" si="34"/>
        <v>-0.00264248756921392</v>
      </c>
    </row>
    <row r="2187" ht="14.25" customHeight="1" spans="2:4">
      <c r="B2187" s="137">
        <v>43011</v>
      </c>
      <c r="C2187" s="132">
        <v>9859.5</v>
      </c>
      <c r="D2187" s="135">
        <f t="shared" si="34"/>
        <v>0.00561894619402592</v>
      </c>
    </row>
    <row r="2188" ht="14.25" customHeight="1" spans="2:4">
      <c r="B2188" s="137">
        <v>43007</v>
      </c>
      <c r="C2188" s="132">
        <v>9788.6</v>
      </c>
      <c r="D2188" s="135">
        <f t="shared" si="34"/>
        <v>0.00724311954722845</v>
      </c>
    </row>
    <row r="2189" ht="14.25" customHeight="1" spans="2:4">
      <c r="B2189" s="137">
        <v>43006</v>
      </c>
      <c r="C2189" s="132">
        <v>9768.95</v>
      </c>
      <c r="D2189" s="135">
        <f t="shared" si="34"/>
        <v>0.00201147513294675</v>
      </c>
    </row>
    <row r="2190" ht="14.25" customHeight="1" spans="2:4">
      <c r="B2190" s="137">
        <v>43005</v>
      </c>
      <c r="C2190" s="132">
        <v>9735.75</v>
      </c>
      <c r="D2190" s="135">
        <f t="shared" si="34"/>
        <v>0.0034101122152892</v>
      </c>
    </row>
    <row r="2191" ht="14.25" customHeight="1" spans="2:4">
      <c r="B2191" s="137">
        <v>43004</v>
      </c>
      <c r="C2191" s="132">
        <v>9871.5</v>
      </c>
      <c r="D2191" s="135">
        <f t="shared" si="34"/>
        <v>-0.0137517094666464</v>
      </c>
    </row>
    <row r="2192" ht="14.25" customHeight="1" spans="2:4">
      <c r="B2192" s="137">
        <v>43003</v>
      </c>
      <c r="C2192" s="132">
        <v>9872.6</v>
      </c>
      <c r="D2192" s="135">
        <f t="shared" si="34"/>
        <v>-0.000111419484229103</v>
      </c>
    </row>
    <row r="2193" ht="14.25" customHeight="1" spans="2:4">
      <c r="B2193" s="137">
        <v>43000</v>
      </c>
      <c r="C2193" s="132">
        <v>9964.4</v>
      </c>
      <c r="D2193" s="135">
        <f t="shared" si="34"/>
        <v>-0.00921279755931104</v>
      </c>
    </row>
    <row r="2194" ht="14.25" customHeight="1" spans="2:4">
      <c r="B2194" s="137">
        <v>42999</v>
      </c>
      <c r="C2194" s="132">
        <v>10121.9</v>
      </c>
      <c r="D2194" s="135">
        <f t="shared" si="34"/>
        <v>-0.0155603197028226</v>
      </c>
    </row>
    <row r="2195" ht="14.25" customHeight="1" spans="2:4">
      <c r="B2195" s="137">
        <v>42998</v>
      </c>
      <c r="C2195" s="132">
        <v>10141.15</v>
      </c>
      <c r="D2195" s="135">
        <f t="shared" si="34"/>
        <v>-0.00189820681086461</v>
      </c>
    </row>
    <row r="2196" ht="14.25" customHeight="1" spans="2:4">
      <c r="B2196" s="137">
        <v>42997</v>
      </c>
      <c r="C2196" s="132">
        <v>10147.55</v>
      </c>
      <c r="D2196" s="135">
        <f t="shared" si="34"/>
        <v>-0.000630694108430085</v>
      </c>
    </row>
    <row r="2197" ht="14.25" customHeight="1" spans="2:4">
      <c r="B2197" s="137">
        <v>42996</v>
      </c>
      <c r="C2197" s="132">
        <v>10153.1</v>
      </c>
      <c r="D2197" s="135">
        <f t="shared" si="34"/>
        <v>-0.000546631078192972</v>
      </c>
    </row>
    <row r="2198" ht="14.25" customHeight="1" spans="2:4">
      <c r="B2198" s="137">
        <v>42993</v>
      </c>
      <c r="C2198" s="132">
        <v>10085.4</v>
      </c>
      <c r="D2198" s="135">
        <f t="shared" si="34"/>
        <v>0.00671267376603812</v>
      </c>
    </row>
    <row r="2199" ht="14.25" customHeight="1" spans="2:4">
      <c r="B2199" s="137">
        <v>42992</v>
      </c>
      <c r="C2199" s="132">
        <v>10086.6</v>
      </c>
      <c r="D2199" s="135">
        <f t="shared" si="34"/>
        <v>-0.000118969722205819</v>
      </c>
    </row>
    <row r="2200" ht="14.25" customHeight="1" spans="2:4">
      <c r="B2200" s="137">
        <v>42991</v>
      </c>
      <c r="C2200" s="132">
        <v>10079.3</v>
      </c>
      <c r="D2200" s="135">
        <f t="shared" si="34"/>
        <v>0.000724256644806687</v>
      </c>
    </row>
    <row r="2201" ht="14.25" customHeight="1" spans="2:4">
      <c r="B2201" s="137">
        <v>42990</v>
      </c>
      <c r="C2201" s="132">
        <v>10093.05</v>
      </c>
      <c r="D2201" s="135">
        <f t="shared" si="34"/>
        <v>-0.00136232357909649</v>
      </c>
    </row>
    <row r="2202" ht="14.25" customHeight="1" spans="2:4">
      <c r="B2202" s="137">
        <v>42989</v>
      </c>
      <c r="C2202" s="132">
        <v>10006.05</v>
      </c>
      <c r="D2202" s="135">
        <f t="shared" si="34"/>
        <v>0.00869473968249213</v>
      </c>
    </row>
    <row r="2203" ht="14.25" customHeight="1" spans="2:4">
      <c r="B2203" s="137">
        <v>42986</v>
      </c>
      <c r="C2203" s="132">
        <v>9934.8</v>
      </c>
      <c r="D2203" s="135">
        <f t="shared" si="34"/>
        <v>0.00717175987438101</v>
      </c>
    </row>
    <row r="2204" ht="14.25" customHeight="1" spans="2:4">
      <c r="B2204" s="137">
        <v>42985</v>
      </c>
      <c r="C2204" s="132">
        <v>9929.9</v>
      </c>
      <c r="D2204" s="135">
        <f t="shared" si="34"/>
        <v>0.000493459148631858</v>
      </c>
    </row>
    <row r="2205" ht="14.25" customHeight="1" spans="2:4">
      <c r="B2205" s="137">
        <v>42984</v>
      </c>
      <c r="C2205" s="132">
        <v>9916.2</v>
      </c>
      <c r="D2205" s="135">
        <f t="shared" si="34"/>
        <v>0.00138157762045932</v>
      </c>
    </row>
    <row r="2206" ht="14.25" customHeight="1" spans="2:4">
      <c r="B2206" s="137">
        <v>42983</v>
      </c>
      <c r="C2206" s="132">
        <v>9952.2</v>
      </c>
      <c r="D2206" s="135">
        <f t="shared" si="34"/>
        <v>-0.00361729064930372</v>
      </c>
    </row>
    <row r="2207" ht="14.25" customHeight="1" spans="2:4">
      <c r="B2207" s="137">
        <v>42982</v>
      </c>
      <c r="C2207" s="132">
        <v>9912.85</v>
      </c>
      <c r="D2207" s="135">
        <f t="shared" si="34"/>
        <v>0.00396959502060468</v>
      </c>
    </row>
    <row r="2208" ht="14.25" customHeight="1" spans="2:4">
      <c r="B2208" s="137">
        <v>42979</v>
      </c>
      <c r="C2208" s="132">
        <v>9974.4</v>
      </c>
      <c r="D2208" s="135">
        <f t="shared" si="34"/>
        <v>-0.00617079724093672</v>
      </c>
    </row>
    <row r="2209" ht="14.25" customHeight="1" spans="2:4">
      <c r="B2209" s="137">
        <v>42978</v>
      </c>
      <c r="C2209" s="132">
        <v>9917.9</v>
      </c>
      <c r="D2209" s="135">
        <f t="shared" si="34"/>
        <v>0.0056967704856874</v>
      </c>
    </row>
    <row r="2210" ht="14.25" customHeight="1" spans="2:4">
      <c r="B2210" s="137">
        <v>42977</v>
      </c>
      <c r="C2210" s="132">
        <v>9884.4</v>
      </c>
      <c r="D2210" s="135">
        <f t="shared" si="34"/>
        <v>0.00338917890817858</v>
      </c>
    </row>
    <row r="2211" ht="14.25" customHeight="1" spans="2:4">
      <c r="B2211" s="137">
        <v>42976</v>
      </c>
      <c r="C2211" s="132">
        <v>9796.05</v>
      </c>
      <c r="D2211" s="135">
        <f t="shared" si="34"/>
        <v>0.0090189413079762</v>
      </c>
    </row>
    <row r="2212" ht="14.25" customHeight="1" spans="2:4">
      <c r="B2212" s="137">
        <v>42975</v>
      </c>
      <c r="C2212" s="132">
        <v>9912.8</v>
      </c>
      <c r="D2212" s="135">
        <f t="shared" si="34"/>
        <v>-0.0117777015575821</v>
      </c>
    </row>
    <row r="2213" ht="14.25" customHeight="1" spans="2:4">
      <c r="B2213" s="137">
        <v>42971</v>
      </c>
      <c r="C2213" s="132">
        <v>9857.05</v>
      </c>
      <c r="D2213" s="135">
        <f t="shared" si="34"/>
        <v>0.0056558503811992</v>
      </c>
    </row>
    <row r="2214" ht="14.25" customHeight="1" spans="2:4">
      <c r="B2214" s="137">
        <v>42970</v>
      </c>
      <c r="C2214" s="132">
        <v>9852.5</v>
      </c>
      <c r="D2214" s="135">
        <f t="shared" si="34"/>
        <v>0.00046181172291293</v>
      </c>
    </row>
    <row r="2215" ht="14.25" customHeight="1" spans="2:4">
      <c r="B2215" s="137">
        <v>42969</v>
      </c>
      <c r="C2215" s="132">
        <v>9765.55</v>
      </c>
      <c r="D2215" s="135">
        <f t="shared" si="34"/>
        <v>0.00890374838078767</v>
      </c>
    </row>
    <row r="2216" ht="14.25" customHeight="1" spans="2:4">
      <c r="B2216" s="137">
        <v>42968</v>
      </c>
      <c r="C2216" s="132">
        <v>9754.35</v>
      </c>
      <c r="D2216" s="135">
        <f t="shared" si="34"/>
        <v>0.00114820567234086</v>
      </c>
    </row>
    <row r="2217" ht="14.25" customHeight="1" spans="2:4">
      <c r="B2217" s="137">
        <v>42965</v>
      </c>
      <c r="C2217" s="132">
        <v>9837.4</v>
      </c>
      <c r="D2217" s="135">
        <f t="shared" si="34"/>
        <v>-0.00844227133185593</v>
      </c>
    </row>
    <row r="2218" ht="14.25" customHeight="1" spans="2:4">
      <c r="B2218" s="137">
        <v>42964</v>
      </c>
      <c r="C2218" s="132">
        <v>9904.15</v>
      </c>
      <c r="D2218" s="135">
        <f t="shared" si="34"/>
        <v>-0.00673959905696098</v>
      </c>
    </row>
    <row r="2219" ht="14.25" customHeight="1" spans="2:4">
      <c r="B2219" s="137">
        <v>42963</v>
      </c>
      <c r="C2219" s="132">
        <v>9897.3</v>
      </c>
      <c r="D2219" s="135">
        <f t="shared" si="34"/>
        <v>0.000692107948632392</v>
      </c>
    </row>
    <row r="2220" ht="14.25" customHeight="1" spans="2:4">
      <c r="B2220" s="137">
        <v>42961</v>
      </c>
      <c r="C2220" s="132">
        <v>9794.15</v>
      </c>
      <c r="D2220" s="135">
        <f t="shared" si="34"/>
        <v>0.0105317970421119</v>
      </c>
    </row>
    <row r="2221" ht="14.25" customHeight="1" spans="2:4">
      <c r="B2221" s="137">
        <v>42958</v>
      </c>
      <c r="C2221" s="132">
        <v>9710.8</v>
      </c>
      <c r="D2221" s="135">
        <f t="shared" si="34"/>
        <v>0.00858322692260161</v>
      </c>
    </row>
    <row r="2222" ht="14.25" customHeight="1" spans="2:4">
      <c r="B2222" s="137">
        <v>42957</v>
      </c>
      <c r="C2222" s="132">
        <v>9820.25</v>
      </c>
      <c r="D2222" s="135">
        <f t="shared" si="34"/>
        <v>-0.011145337440493</v>
      </c>
    </row>
    <row r="2223" ht="14.25" customHeight="1" spans="2:4">
      <c r="B2223" s="137">
        <v>42956</v>
      </c>
      <c r="C2223" s="132">
        <v>9908.05</v>
      </c>
      <c r="D2223" s="135">
        <f t="shared" si="34"/>
        <v>-0.00886148132074416</v>
      </c>
    </row>
    <row r="2224" ht="14.25" customHeight="1" spans="2:4">
      <c r="B2224" s="137">
        <v>42955</v>
      </c>
      <c r="C2224" s="132">
        <v>9978.55</v>
      </c>
      <c r="D2224" s="135">
        <f t="shared" si="34"/>
        <v>-0.00706515475695368</v>
      </c>
    </row>
    <row r="2225" ht="14.25" customHeight="1" spans="2:4">
      <c r="B2225" s="137">
        <v>42954</v>
      </c>
      <c r="C2225" s="132">
        <v>10057.4</v>
      </c>
      <c r="D2225" s="135">
        <f t="shared" si="34"/>
        <v>-0.00783999840913163</v>
      </c>
    </row>
    <row r="2226" ht="14.25" customHeight="1" spans="2:4">
      <c r="B2226" s="137">
        <v>42951</v>
      </c>
      <c r="C2226" s="132">
        <v>10066.4</v>
      </c>
      <c r="D2226" s="135">
        <f t="shared" si="34"/>
        <v>-0.000894063418898527</v>
      </c>
    </row>
    <row r="2227" ht="14.25" customHeight="1" spans="2:4">
      <c r="B2227" s="137">
        <v>42950</v>
      </c>
      <c r="C2227" s="132">
        <v>10013.65</v>
      </c>
      <c r="D2227" s="135">
        <f t="shared" si="34"/>
        <v>0.00526780944011418</v>
      </c>
    </row>
    <row r="2228" ht="14.25" customHeight="1" spans="2:4">
      <c r="B2228" s="137">
        <v>42949</v>
      </c>
      <c r="C2228" s="132">
        <v>10081.5</v>
      </c>
      <c r="D2228" s="135">
        <f t="shared" si="34"/>
        <v>-0.00673014928334081</v>
      </c>
    </row>
    <row r="2229" ht="14.25" customHeight="1" spans="2:4">
      <c r="B2229" s="137">
        <v>42948</v>
      </c>
      <c r="C2229" s="132">
        <v>10114.65</v>
      </c>
      <c r="D2229" s="135">
        <f t="shared" si="34"/>
        <v>-0.00327742433005584</v>
      </c>
    </row>
    <row r="2230" ht="14.25" customHeight="1" spans="2:4">
      <c r="B2230" s="137">
        <v>42947</v>
      </c>
      <c r="C2230" s="132">
        <v>10077.1</v>
      </c>
      <c r="D2230" s="135">
        <f t="shared" si="34"/>
        <v>0.00372627045479357</v>
      </c>
    </row>
    <row r="2231" ht="14.25" customHeight="1" spans="2:4">
      <c r="B2231" s="137">
        <v>42944</v>
      </c>
      <c r="C2231" s="132">
        <v>10014.5</v>
      </c>
      <c r="D2231" s="135">
        <f t="shared" si="34"/>
        <v>0.00625093614259331</v>
      </c>
    </row>
    <row r="2232" ht="14.25" customHeight="1" spans="2:4">
      <c r="B2232" s="137">
        <v>42943</v>
      </c>
      <c r="C2232" s="132">
        <v>10020.55</v>
      </c>
      <c r="D2232" s="135">
        <f t="shared" si="34"/>
        <v>-0.000603759274690474</v>
      </c>
    </row>
    <row r="2233" ht="14.25" customHeight="1" spans="2:4">
      <c r="B2233" s="137">
        <v>42942</v>
      </c>
      <c r="C2233" s="132">
        <v>10020.65</v>
      </c>
      <c r="D2233" s="135">
        <f t="shared" si="34"/>
        <v>-9.9793925544267e-6</v>
      </c>
    </row>
    <row r="2234" ht="14.25" customHeight="1" spans="2:4">
      <c r="B2234" s="137">
        <v>42941</v>
      </c>
      <c r="C2234" s="132">
        <v>9964.55</v>
      </c>
      <c r="D2234" s="135">
        <f t="shared" si="34"/>
        <v>0.00562995820182555</v>
      </c>
    </row>
    <row r="2235" ht="14.25" customHeight="1" spans="2:4">
      <c r="B2235" s="137">
        <v>42940</v>
      </c>
      <c r="C2235" s="132">
        <v>9966.4</v>
      </c>
      <c r="D2235" s="135">
        <f t="shared" si="34"/>
        <v>-0.000185623695617365</v>
      </c>
    </row>
    <row r="2236" ht="14.25" customHeight="1" spans="2:4">
      <c r="B2236" s="137">
        <v>42937</v>
      </c>
      <c r="C2236" s="132">
        <v>9915.25</v>
      </c>
      <c r="D2236" s="135">
        <f t="shared" si="34"/>
        <v>0.00515872015329921</v>
      </c>
    </row>
    <row r="2237" ht="14.25" customHeight="1" spans="2:4">
      <c r="B2237" s="137">
        <v>42936</v>
      </c>
      <c r="C2237" s="132">
        <v>9873.3</v>
      </c>
      <c r="D2237" s="135">
        <f t="shared" si="34"/>
        <v>0.0042488327104413</v>
      </c>
    </row>
    <row r="2238" ht="14.25" customHeight="1" spans="2:4">
      <c r="B2238" s="137">
        <v>42935</v>
      </c>
      <c r="C2238" s="132">
        <v>9899.6</v>
      </c>
      <c r="D2238" s="135">
        <f t="shared" si="34"/>
        <v>-0.00265667299688888</v>
      </c>
    </row>
    <row r="2239" ht="14.25" customHeight="1" spans="2:4">
      <c r="B2239" s="137">
        <v>42934</v>
      </c>
      <c r="C2239" s="132">
        <v>9827.15</v>
      </c>
      <c r="D2239" s="135">
        <f t="shared" si="34"/>
        <v>0.00737243249568809</v>
      </c>
    </row>
    <row r="2240" ht="14.25" customHeight="1" spans="2:4">
      <c r="B2240" s="137">
        <v>42933</v>
      </c>
      <c r="C2240" s="132">
        <v>9915.95</v>
      </c>
      <c r="D2240" s="135">
        <f t="shared" si="34"/>
        <v>-0.00895526903624977</v>
      </c>
    </row>
    <row r="2241" ht="14.25" customHeight="1" spans="2:4">
      <c r="B2241" s="137">
        <v>42930</v>
      </c>
      <c r="C2241" s="132">
        <v>9886.35</v>
      </c>
      <c r="D2241" s="135">
        <f t="shared" si="34"/>
        <v>0.00299402711819829</v>
      </c>
    </row>
    <row r="2242" ht="14.25" customHeight="1" spans="2:4">
      <c r="B2242" s="137">
        <v>42929</v>
      </c>
      <c r="C2242" s="132">
        <v>9891.7</v>
      </c>
      <c r="D2242" s="135">
        <f t="shared" si="34"/>
        <v>-0.000540857486579727</v>
      </c>
    </row>
    <row r="2243" ht="14.25" customHeight="1" spans="2:4">
      <c r="B2243" s="137">
        <v>42928</v>
      </c>
      <c r="C2243" s="132">
        <v>9816.1</v>
      </c>
      <c r="D2243" s="135">
        <f t="shared" si="34"/>
        <v>0.00770163303144833</v>
      </c>
    </row>
    <row r="2244" ht="14.25" customHeight="1" spans="2:4">
      <c r="B2244" s="137">
        <v>42927</v>
      </c>
      <c r="C2244" s="132">
        <v>9786.05</v>
      </c>
      <c r="D2244" s="135">
        <f t="shared" si="34"/>
        <v>0.00307069757460887</v>
      </c>
    </row>
    <row r="2245" ht="14.25" customHeight="1" spans="2:4">
      <c r="B2245" s="137">
        <v>42926</v>
      </c>
      <c r="C2245" s="132">
        <v>9771.05</v>
      </c>
      <c r="D2245" s="135">
        <f t="shared" si="34"/>
        <v>0.00153514719503023</v>
      </c>
    </row>
    <row r="2246" ht="14.25" customHeight="1" spans="2:4">
      <c r="B2246" s="137">
        <v>42923</v>
      </c>
      <c r="C2246" s="132">
        <v>9665.8</v>
      </c>
      <c r="D2246" s="135">
        <f t="shared" si="34"/>
        <v>0.0108889072813425</v>
      </c>
    </row>
    <row r="2247" ht="14.25" customHeight="1" spans="2:4">
      <c r="B2247" s="137">
        <v>42922</v>
      </c>
      <c r="C2247" s="132">
        <v>9674.55</v>
      </c>
      <c r="D2247" s="135">
        <f t="shared" si="34"/>
        <v>-0.000904434831594192</v>
      </c>
    </row>
    <row r="2248" ht="14.25" customHeight="1" spans="2:4">
      <c r="B2248" s="137">
        <v>42921</v>
      </c>
      <c r="C2248" s="132">
        <v>9637.6</v>
      </c>
      <c r="D2248" s="135">
        <f t="shared" si="34"/>
        <v>0.00383394206026377</v>
      </c>
    </row>
    <row r="2249" ht="14.25" customHeight="1" spans="2:4">
      <c r="B2249" s="137">
        <v>42920</v>
      </c>
      <c r="C2249" s="132">
        <v>9613.3</v>
      </c>
      <c r="D2249" s="135">
        <f t="shared" ref="D2249:D2312" si="35">C2248/C2249-1</f>
        <v>0.00252774801576994</v>
      </c>
    </row>
    <row r="2250" ht="14.25" customHeight="1" spans="2:4">
      <c r="B2250" s="137">
        <v>42919</v>
      </c>
      <c r="C2250" s="132">
        <v>9615</v>
      </c>
      <c r="D2250" s="135">
        <f t="shared" si="35"/>
        <v>-0.000176807072282958</v>
      </c>
    </row>
    <row r="2251" ht="14.25" customHeight="1" spans="2:4">
      <c r="B2251" s="137">
        <v>42916</v>
      </c>
      <c r="C2251" s="132">
        <v>9520.9</v>
      </c>
      <c r="D2251" s="135">
        <f t="shared" si="35"/>
        <v>0.0098835194151814</v>
      </c>
    </row>
    <row r="2252" ht="14.25" customHeight="1" spans="2:4">
      <c r="B2252" s="137">
        <v>42915</v>
      </c>
      <c r="C2252" s="132">
        <v>9504.1</v>
      </c>
      <c r="D2252" s="135">
        <f t="shared" si="35"/>
        <v>0.00176765816857971</v>
      </c>
    </row>
    <row r="2253" ht="14.25" customHeight="1" spans="2:4">
      <c r="B2253" s="137">
        <v>42914</v>
      </c>
      <c r="C2253" s="132">
        <v>9491.25</v>
      </c>
      <c r="D2253" s="135">
        <f t="shared" si="35"/>
        <v>0.00135387857236924</v>
      </c>
    </row>
    <row r="2254" ht="14.25" customHeight="1" spans="2:4">
      <c r="B2254" s="137">
        <v>42913</v>
      </c>
      <c r="C2254" s="132">
        <v>9511.4</v>
      </c>
      <c r="D2254" s="135">
        <f t="shared" si="35"/>
        <v>-0.00211851041907607</v>
      </c>
    </row>
    <row r="2255" ht="14.25" customHeight="1" spans="2:4">
      <c r="B2255" s="137">
        <v>42909</v>
      </c>
      <c r="C2255" s="132">
        <v>9574.95</v>
      </c>
      <c r="D2255" s="135">
        <f t="shared" si="35"/>
        <v>-0.00663711037655557</v>
      </c>
    </row>
    <row r="2256" ht="14.25" customHeight="1" spans="2:4">
      <c r="B2256" s="137">
        <v>42908</v>
      </c>
      <c r="C2256" s="132">
        <v>9630</v>
      </c>
      <c r="D2256" s="135">
        <f t="shared" si="35"/>
        <v>-0.00571651090342673</v>
      </c>
    </row>
    <row r="2257" ht="14.25" customHeight="1" spans="2:4">
      <c r="B2257" s="137">
        <v>42907</v>
      </c>
      <c r="C2257" s="132">
        <v>9633.6</v>
      </c>
      <c r="D2257" s="135">
        <f t="shared" si="35"/>
        <v>-0.000373692077727972</v>
      </c>
    </row>
    <row r="2258" ht="14.25" customHeight="1" spans="2:4">
      <c r="B2258" s="137">
        <v>42906</v>
      </c>
      <c r="C2258" s="132">
        <v>9653.5</v>
      </c>
      <c r="D2258" s="135">
        <f t="shared" si="35"/>
        <v>-0.00206142849743618</v>
      </c>
    </row>
    <row r="2259" ht="14.25" customHeight="1" spans="2:4">
      <c r="B2259" s="137">
        <v>42905</v>
      </c>
      <c r="C2259" s="132">
        <v>9657.55</v>
      </c>
      <c r="D2259" s="135">
        <f t="shared" si="35"/>
        <v>-0.000419361018063502</v>
      </c>
    </row>
    <row r="2260" ht="14.25" customHeight="1" spans="2:4">
      <c r="B2260" s="137">
        <v>42902</v>
      </c>
      <c r="C2260" s="132">
        <v>9588.05</v>
      </c>
      <c r="D2260" s="135">
        <f t="shared" si="35"/>
        <v>0.00724860633809787</v>
      </c>
    </row>
    <row r="2261" ht="14.25" customHeight="1" spans="2:4">
      <c r="B2261" s="137">
        <v>42901</v>
      </c>
      <c r="C2261" s="132">
        <v>9578.05</v>
      </c>
      <c r="D2261" s="135">
        <f t="shared" si="35"/>
        <v>0.00104405385229778</v>
      </c>
    </row>
    <row r="2262" ht="14.25" customHeight="1" spans="2:4">
      <c r="B2262" s="137">
        <v>42900</v>
      </c>
      <c r="C2262" s="132">
        <v>9618.15</v>
      </c>
      <c r="D2262" s="135">
        <f t="shared" si="35"/>
        <v>-0.00416920093781037</v>
      </c>
    </row>
    <row r="2263" ht="14.25" customHeight="1" spans="2:4">
      <c r="B2263" s="137">
        <v>42899</v>
      </c>
      <c r="C2263" s="132">
        <v>9606.9</v>
      </c>
      <c r="D2263" s="135">
        <f t="shared" si="35"/>
        <v>0.0011710333198014</v>
      </c>
    </row>
    <row r="2264" ht="14.25" customHeight="1" spans="2:4">
      <c r="B2264" s="137">
        <v>42898</v>
      </c>
      <c r="C2264" s="132">
        <v>9616.4</v>
      </c>
      <c r="D2264" s="135">
        <f t="shared" si="35"/>
        <v>-0.000987895678216333</v>
      </c>
    </row>
    <row r="2265" ht="14.25" customHeight="1" spans="2:4">
      <c r="B2265" s="137">
        <v>42895</v>
      </c>
      <c r="C2265" s="132">
        <v>9668.25</v>
      </c>
      <c r="D2265" s="135">
        <f t="shared" si="35"/>
        <v>-0.00536291469500694</v>
      </c>
    </row>
    <row r="2266" ht="14.25" customHeight="1" spans="2:4">
      <c r="B2266" s="137">
        <v>42894</v>
      </c>
      <c r="C2266" s="132">
        <v>9647.25</v>
      </c>
      <c r="D2266" s="135">
        <f t="shared" si="35"/>
        <v>0.00217678613076266</v>
      </c>
    </row>
    <row r="2267" ht="14.25" customHeight="1" spans="2:4">
      <c r="B2267" s="137">
        <v>42893</v>
      </c>
      <c r="C2267" s="132">
        <v>9663.9</v>
      </c>
      <c r="D2267" s="135">
        <f t="shared" si="35"/>
        <v>-0.00172290690094057</v>
      </c>
    </row>
    <row r="2268" ht="14.25" customHeight="1" spans="2:4">
      <c r="B2268" s="137">
        <v>42892</v>
      </c>
      <c r="C2268" s="132">
        <v>9637.15</v>
      </c>
      <c r="D2268" s="135">
        <f t="shared" si="35"/>
        <v>0.00277571688725398</v>
      </c>
    </row>
    <row r="2269" ht="14.25" customHeight="1" spans="2:4">
      <c r="B2269" s="137">
        <v>42891</v>
      </c>
      <c r="C2269" s="132">
        <v>9675.1</v>
      </c>
      <c r="D2269" s="135">
        <f t="shared" si="35"/>
        <v>-0.0039224400781388</v>
      </c>
    </row>
    <row r="2270" ht="14.25" customHeight="1" spans="2:4">
      <c r="B2270" s="137">
        <v>42888</v>
      </c>
      <c r="C2270" s="132">
        <v>9653.5</v>
      </c>
      <c r="D2270" s="135">
        <f t="shared" si="35"/>
        <v>0.00223753042937802</v>
      </c>
    </row>
    <row r="2271" ht="14.25" customHeight="1" spans="2:4">
      <c r="B2271" s="137">
        <v>42887</v>
      </c>
      <c r="C2271" s="132">
        <v>9616.1</v>
      </c>
      <c r="D2271" s="135">
        <f t="shared" si="35"/>
        <v>0.00388931063528863</v>
      </c>
    </row>
    <row r="2272" ht="14.25" customHeight="1" spans="2:4">
      <c r="B2272" s="137">
        <v>42886</v>
      </c>
      <c r="C2272" s="132">
        <v>9621.25</v>
      </c>
      <c r="D2272" s="135">
        <f t="shared" si="35"/>
        <v>-0.00053527348317528</v>
      </c>
    </row>
    <row r="2273" ht="14.25" customHeight="1" spans="2:4">
      <c r="B2273" s="137">
        <v>42885</v>
      </c>
      <c r="C2273" s="132">
        <v>9624.55</v>
      </c>
      <c r="D2273" s="135">
        <f t="shared" si="35"/>
        <v>-0.00034287317329118</v>
      </c>
    </row>
    <row r="2274" ht="14.25" customHeight="1" spans="2:4">
      <c r="B2274" s="137">
        <v>42884</v>
      </c>
      <c r="C2274" s="132">
        <v>9604.9</v>
      </c>
      <c r="D2274" s="135">
        <f t="shared" si="35"/>
        <v>0.00204583077387577</v>
      </c>
    </row>
    <row r="2275" ht="14.25" customHeight="1" spans="2:4">
      <c r="B2275" s="137">
        <v>42881</v>
      </c>
      <c r="C2275" s="132">
        <v>9595.1</v>
      </c>
      <c r="D2275" s="135">
        <f t="shared" si="35"/>
        <v>0.00102135464976905</v>
      </c>
    </row>
    <row r="2276" ht="14.25" customHeight="1" spans="2:4">
      <c r="B2276" s="137">
        <v>42880</v>
      </c>
      <c r="C2276" s="132">
        <v>9509.75</v>
      </c>
      <c r="D2276" s="135">
        <f t="shared" si="35"/>
        <v>0.0089749993427799</v>
      </c>
    </row>
    <row r="2277" ht="14.25" customHeight="1" spans="2:4">
      <c r="B2277" s="137">
        <v>42879</v>
      </c>
      <c r="C2277" s="132">
        <v>9360.55</v>
      </c>
      <c r="D2277" s="135">
        <f t="shared" si="35"/>
        <v>0.0159392343398626</v>
      </c>
    </row>
    <row r="2278" ht="14.25" customHeight="1" spans="2:4">
      <c r="B2278" s="137">
        <v>42878</v>
      </c>
      <c r="C2278" s="132">
        <v>9386.15</v>
      </c>
      <c r="D2278" s="135">
        <f t="shared" si="35"/>
        <v>-0.00272742285175498</v>
      </c>
    </row>
    <row r="2279" ht="14.25" customHeight="1" spans="2:4">
      <c r="B2279" s="137">
        <v>42877</v>
      </c>
      <c r="C2279" s="132">
        <v>9438.25</v>
      </c>
      <c r="D2279" s="135">
        <f t="shared" si="35"/>
        <v>-0.00552009111858665</v>
      </c>
    </row>
    <row r="2280" ht="14.25" customHeight="1" spans="2:4">
      <c r="B2280" s="137">
        <v>42874</v>
      </c>
      <c r="C2280" s="132">
        <v>9427.9</v>
      </c>
      <c r="D2280" s="135">
        <f t="shared" si="35"/>
        <v>0.00109780544978211</v>
      </c>
    </row>
    <row r="2281" ht="14.25" customHeight="1" spans="2:4">
      <c r="B2281" s="137">
        <v>42873</v>
      </c>
      <c r="C2281" s="132">
        <v>9429.45</v>
      </c>
      <c r="D2281" s="135">
        <f t="shared" si="35"/>
        <v>-0.000164378622295125</v>
      </c>
    </row>
    <row r="2282" ht="14.25" customHeight="1" spans="2:4">
      <c r="B2282" s="137">
        <v>42872</v>
      </c>
      <c r="C2282" s="132">
        <v>9525.75</v>
      </c>
      <c r="D2282" s="135">
        <f t="shared" si="35"/>
        <v>-0.0101094402015589</v>
      </c>
    </row>
    <row r="2283" ht="14.25" customHeight="1" spans="2:4">
      <c r="B2283" s="137">
        <v>42871</v>
      </c>
      <c r="C2283" s="132">
        <v>9512.25</v>
      </c>
      <c r="D2283" s="135">
        <f t="shared" si="35"/>
        <v>0.00141922258140825</v>
      </c>
    </row>
    <row r="2284" ht="14.25" customHeight="1" spans="2:4">
      <c r="B2284" s="137">
        <v>42870</v>
      </c>
      <c r="C2284" s="132">
        <v>9445.4</v>
      </c>
      <c r="D2284" s="135">
        <f t="shared" si="35"/>
        <v>0.00707751921570288</v>
      </c>
    </row>
    <row r="2285" ht="14.25" customHeight="1" spans="2:4">
      <c r="B2285" s="137">
        <v>42867</v>
      </c>
      <c r="C2285" s="132">
        <v>9400.9</v>
      </c>
      <c r="D2285" s="135">
        <f t="shared" si="35"/>
        <v>0.00473358933719115</v>
      </c>
    </row>
    <row r="2286" ht="14.25" customHeight="1" spans="2:4">
      <c r="B2286" s="137">
        <v>42866</v>
      </c>
      <c r="C2286" s="132">
        <v>9422.4</v>
      </c>
      <c r="D2286" s="135">
        <f t="shared" si="35"/>
        <v>-0.00228179656987604</v>
      </c>
    </row>
    <row r="2287" ht="14.25" customHeight="1" spans="2:4">
      <c r="B2287" s="137">
        <v>42865</v>
      </c>
      <c r="C2287" s="132">
        <v>9407.3</v>
      </c>
      <c r="D2287" s="135">
        <f t="shared" si="35"/>
        <v>0.00160513643659721</v>
      </c>
    </row>
    <row r="2288" ht="14.25" customHeight="1" spans="2:4">
      <c r="B2288" s="137">
        <v>42864</v>
      </c>
      <c r="C2288" s="132">
        <v>9316.85</v>
      </c>
      <c r="D2288" s="135">
        <f t="shared" si="35"/>
        <v>0.00970821683294232</v>
      </c>
    </row>
    <row r="2289" ht="14.25" customHeight="1" spans="2:4">
      <c r="B2289" s="137">
        <v>42863</v>
      </c>
      <c r="C2289" s="132">
        <v>9314.05</v>
      </c>
      <c r="D2289" s="135">
        <f t="shared" si="35"/>
        <v>0.000300621104675214</v>
      </c>
    </row>
    <row r="2290" ht="14.25" customHeight="1" spans="2:4">
      <c r="B2290" s="137">
        <v>42860</v>
      </c>
      <c r="C2290" s="132">
        <v>9285.3</v>
      </c>
      <c r="D2290" s="135">
        <f t="shared" si="35"/>
        <v>0.00309629198841188</v>
      </c>
    </row>
    <row r="2291" ht="14.25" customHeight="1" spans="2:4">
      <c r="B2291" s="137">
        <v>42859</v>
      </c>
      <c r="C2291" s="132">
        <v>9359.9</v>
      </c>
      <c r="D2291" s="135">
        <f t="shared" si="35"/>
        <v>-0.00797017062148109</v>
      </c>
    </row>
    <row r="2292" ht="14.25" customHeight="1" spans="2:4">
      <c r="B2292" s="137">
        <v>42858</v>
      </c>
      <c r="C2292" s="132">
        <v>9311.95</v>
      </c>
      <c r="D2292" s="135">
        <f t="shared" si="35"/>
        <v>0.00514929740816905</v>
      </c>
    </row>
    <row r="2293" ht="14.25" customHeight="1" spans="2:4">
      <c r="B2293" s="137">
        <v>42857</v>
      </c>
      <c r="C2293" s="132">
        <v>9313.8</v>
      </c>
      <c r="D2293" s="135">
        <f t="shared" si="35"/>
        <v>-0.000198629989907273</v>
      </c>
    </row>
    <row r="2294" ht="14.25" customHeight="1" spans="2:4">
      <c r="B2294" s="137">
        <v>42853</v>
      </c>
      <c r="C2294" s="132">
        <v>9304.05</v>
      </c>
      <c r="D2294" s="135">
        <f t="shared" si="35"/>
        <v>0.001047930739839</v>
      </c>
    </row>
    <row r="2295" ht="14.25" customHeight="1" spans="2:4">
      <c r="B2295" s="137">
        <v>42852</v>
      </c>
      <c r="C2295" s="132">
        <v>9342.15</v>
      </c>
      <c r="D2295" s="135">
        <f t="shared" si="35"/>
        <v>-0.00407829032931395</v>
      </c>
    </row>
    <row r="2296" ht="14.25" customHeight="1" spans="2:4">
      <c r="B2296" s="137">
        <v>42851</v>
      </c>
      <c r="C2296" s="132">
        <v>9351.85</v>
      </c>
      <c r="D2296" s="135">
        <f t="shared" si="35"/>
        <v>-0.00103722792816408</v>
      </c>
    </row>
    <row r="2297" ht="14.25" customHeight="1" spans="2:4">
      <c r="B2297" s="137">
        <v>42850</v>
      </c>
      <c r="C2297" s="132">
        <v>9306.6</v>
      </c>
      <c r="D2297" s="135">
        <f t="shared" si="35"/>
        <v>0.00486214084628123</v>
      </c>
    </row>
    <row r="2298" ht="14.25" customHeight="1" spans="2:4">
      <c r="B2298" s="137">
        <v>42849</v>
      </c>
      <c r="C2298" s="132">
        <v>9217.95</v>
      </c>
      <c r="D2298" s="135">
        <f t="shared" si="35"/>
        <v>0.00961710575561803</v>
      </c>
    </row>
    <row r="2299" ht="14.25" customHeight="1" spans="2:4">
      <c r="B2299" s="137">
        <v>42846</v>
      </c>
      <c r="C2299" s="132">
        <v>9119.4</v>
      </c>
      <c r="D2299" s="135">
        <f t="shared" si="35"/>
        <v>0.0108066320152642</v>
      </c>
    </row>
    <row r="2300" ht="14.25" customHeight="1" spans="2:4">
      <c r="B2300" s="137">
        <v>42845</v>
      </c>
      <c r="C2300" s="132">
        <v>9136.4</v>
      </c>
      <c r="D2300" s="135">
        <f t="shared" si="35"/>
        <v>-0.00186068911168513</v>
      </c>
    </row>
    <row r="2301" ht="14.25" customHeight="1" spans="2:4">
      <c r="B2301" s="137">
        <v>42844</v>
      </c>
      <c r="C2301" s="132">
        <v>9103.5</v>
      </c>
      <c r="D2301" s="135">
        <f t="shared" si="35"/>
        <v>0.00361399461745471</v>
      </c>
    </row>
    <row r="2302" ht="14.25" customHeight="1" spans="2:4">
      <c r="B2302" s="137">
        <v>42843</v>
      </c>
      <c r="C2302" s="132">
        <v>9105.15</v>
      </c>
      <c r="D2302" s="135">
        <f t="shared" si="35"/>
        <v>-0.000181216124940264</v>
      </c>
    </row>
    <row r="2303" ht="14.25" customHeight="1" spans="2:4">
      <c r="B2303" s="137">
        <v>42842</v>
      </c>
      <c r="C2303" s="132">
        <v>9139.3</v>
      </c>
      <c r="D2303" s="135">
        <f t="shared" si="35"/>
        <v>-0.00373661002483772</v>
      </c>
    </row>
    <row r="2304" ht="14.25" customHeight="1" spans="2:4">
      <c r="B2304" s="137">
        <v>42838</v>
      </c>
      <c r="C2304" s="132">
        <v>9150.8</v>
      </c>
      <c r="D2304" s="135">
        <f t="shared" si="35"/>
        <v>-0.00125672072387117</v>
      </c>
    </row>
    <row r="2305" ht="14.25" customHeight="1" spans="2:4">
      <c r="B2305" s="137">
        <v>42837</v>
      </c>
      <c r="C2305" s="132">
        <v>9203.45</v>
      </c>
      <c r="D2305" s="135">
        <f t="shared" si="35"/>
        <v>-0.00572068083164479</v>
      </c>
    </row>
    <row r="2306" ht="14.25" customHeight="1" spans="2:4">
      <c r="B2306" s="137">
        <v>42836</v>
      </c>
      <c r="C2306" s="132">
        <v>9237</v>
      </c>
      <c r="D2306" s="135">
        <f t="shared" si="35"/>
        <v>-0.00363213164447318</v>
      </c>
    </row>
    <row r="2307" ht="14.25" customHeight="1" spans="2:4">
      <c r="B2307" s="137">
        <v>42835</v>
      </c>
      <c r="C2307" s="132">
        <v>9181.45</v>
      </c>
      <c r="D2307" s="135">
        <f t="shared" si="35"/>
        <v>0.0060502426087381</v>
      </c>
    </row>
    <row r="2308" ht="14.25" customHeight="1" spans="2:4">
      <c r="B2308" s="137">
        <v>42832</v>
      </c>
      <c r="C2308" s="132">
        <v>9198.3</v>
      </c>
      <c r="D2308" s="135">
        <f t="shared" si="35"/>
        <v>-0.00183186023504323</v>
      </c>
    </row>
    <row r="2309" ht="14.25" customHeight="1" spans="2:4">
      <c r="B2309" s="137">
        <v>42831</v>
      </c>
      <c r="C2309" s="132">
        <v>9261.95</v>
      </c>
      <c r="D2309" s="135">
        <f t="shared" si="35"/>
        <v>-0.00687220293782642</v>
      </c>
    </row>
    <row r="2310" ht="14.25" customHeight="1" spans="2:4">
      <c r="B2310" s="137">
        <v>42830</v>
      </c>
      <c r="C2310" s="132">
        <v>9265.15</v>
      </c>
      <c r="D2310" s="135">
        <f t="shared" si="35"/>
        <v>-0.000345380269072715</v>
      </c>
    </row>
    <row r="2311" ht="14.25" customHeight="1" spans="2:4">
      <c r="B2311" s="137">
        <v>42828</v>
      </c>
      <c r="C2311" s="132">
        <v>9237.85</v>
      </c>
      <c r="D2311" s="135">
        <f t="shared" si="35"/>
        <v>0.00295523308995049</v>
      </c>
    </row>
    <row r="2312" ht="14.25" customHeight="1" spans="2:4">
      <c r="B2312" s="137">
        <v>42825</v>
      </c>
      <c r="C2312" s="132">
        <v>9173.75</v>
      </c>
      <c r="D2312" s="135">
        <f t="shared" si="35"/>
        <v>0.00698732797383839</v>
      </c>
    </row>
    <row r="2313" ht="14.25" customHeight="1" spans="2:4">
      <c r="B2313" s="137">
        <v>42824</v>
      </c>
      <c r="C2313" s="132">
        <v>9173.75</v>
      </c>
      <c r="D2313" s="135">
        <f t="shared" ref="D2313:D2376" si="36">C2312/C2313-1</f>
        <v>0</v>
      </c>
    </row>
    <row r="2314" ht="14.25" customHeight="1" spans="2:4">
      <c r="B2314" s="137">
        <v>42823</v>
      </c>
      <c r="C2314" s="132">
        <v>9143.8</v>
      </c>
      <c r="D2314" s="135">
        <f t="shared" si="36"/>
        <v>0.00327544346989228</v>
      </c>
    </row>
    <row r="2315" ht="14.25" customHeight="1" spans="2:4">
      <c r="B2315" s="137">
        <v>42822</v>
      </c>
      <c r="C2315" s="132">
        <v>9100.8</v>
      </c>
      <c r="D2315" s="135">
        <f t="shared" si="36"/>
        <v>0.0047248593530238</v>
      </c>
    </row>
    <row r="2316" ht="14.25" customHeight="1" spans="2:4">
      <c r="B2316" s="137">
        <v>42821</v>
      </c>
      <c r="C2316" s="132">
        <v>9045.2</v>
      </c>
      <c r="D2316" s="135">
        <f t="shared" si="36"/>
        <v>0.0061469066466191</v>
      </c>
    </row>
    <row r="2317" ht="14.25" customHeight="1" spans="2:4">
      <c r="B2317" s="137">
        <v>42818</v>
      </c>
      <c r="C2317" s="132">
        <v>9108</v>
      </c>
      <c r="D2317" s="135">
        <f t="shared" si="36"/>
        <v>-0.00689503732981989</v>
      </c>
    </row>
    <row r="2318" ht="14.25" customHeight="1" spans="2:4">
      <c r="B2318" s="137">
        <v>42817</v>
      </c>
      <c r="C2318" s="132">
        <v>9086.3</v>
      </c>
      <c r="D2318" s="135">
        <f t="shared" si="36"/>
        <v>0.0023882108228872</v>
      </c>
    </row>
    <row r="2319" ht="14.25" customHeight="1" spans="2:4">
      <c r="B2319" s="137">
        <v>42816</v>
      </c>
      <c r="C2319" s="132">
        <v>9030.45</v>
      </c>
      <c r="D2319" s="135">
        <f t="shared" si="36"/>
        <v>0.0061846308877187</v>
      </c>
    </row>
    <row r="2320" ht="14.25" customHeight="1" spans="2:4">
      <c r="B2320" s="137">
        <v>42815</v>
      </c>
      <c r="C2320" s="132">
        <v>9121.5</v>
      </c>
      <c r="D2320" s="135">
        <f t="shared" si="36"/>
        <v>-0.00998191086992262</v>
      </c>
    </row>
    <row r="2321" ht="14.25" customHeight="1" spans="2:4">
      <c r="B2321" s="137">
        <v>42814</v>
      </c>
      <c r="C2321" s="132">
        <v>9126.85</v>
      </c>
      <c r="D2321" s="135">
        <f t="shared" si="36"/>
        <v>-0.000586182527378076</v>
      </c>
    </row>
    <row r="2322" ht="14.25" customHeight="1" spans="2:4">
      <c r="B2322" s="137">
        <v>42811</v>
      </c>
      <c r="C2322" s="132">
        <v>9160.05</v>
      </c>
      <c r="D2322" s="135">
        <f t="shared" si="36"/>
        <v>-0.00362443436444115</v>
      </c>
    </row>
    <row r="2323" ht="14.25" customHeight="1" spans="2:4">
      <c r="B2323" s="137">
        <v>42810</v>
      </c>
      <c r="C2323" s="132">
        <v>9153.7</v>
      </c>
      <c r="D2323" s="135">
        <f t="shared" si="36"/>
        <v>0.000693708555010275</v>
      </c>
    </row>
    <row r="2324" ht="14.25" customHeight="1" spans="2:4">
      <c r="B2324" s="137">
        <v>42809</v>
      </c>
      <c r="C2324" s="132">
        <v>9084.8</v>
      </c>
      <c r="D2324" s="135">
        <f t="shared" si="36"/>
        <v>0.00758409651285685</v>
      </c>
    </row>
    <row r="2325" ht="14.25" customHeight="1" spans="2:4">
      <c r="B2325" s="137">
        <v>42808</v>
      </c>
      <c r="C2325" s="132">
        <v>9087</v>
      </c>
      <c r="D2325" s="135">
        <f t="shared" si="36"/>
        <v>-0.000242104104765106</v>
      </c>
    </row>
    <row r="2326" ht="14.25" customHeight="1" spans="2:4">
      <c r="B2326" s="137">
        <v>42804</v>
      </c>
      <c r="C2326" s="132">
        <v>8934.55</v>
      </c>
      <c r="D2326" s="135">
        <f t="shared" si="36"/>
        <v>0.0170629746321864</v>
      </c>
    </row>
    <row r="2327" ht="14.25" customHeight="1" spans="2:4">
      <c r="B2327" s="137">
        <v>42803</v>
      </c>
      <c r="C2327" s="132">
        <v>8927</v>
      </c>
      <c r="D2327" s="135">
        <f t="shared" si="36"/>
        <v>0.000845748851797889</v>
      </c>
    </row>
    <row r="2328" ht="14.25" customHeight="1" spans="2:4">
      <c r="B2328" s="137">
        <v>42802</v>
      </c>
      <c r="C2328" s="132">
        <v>8924.3</v>
      </c>
      <c r="D2328" s="135">
        <f t="shared" si="36"/>
        <v>0.000302544737402544</v>
      </c>
    </row>
    <row r="2329" ht="14.25" customHeight="1" spans="2:4">
      <c r="B2329" s="137">
        <v>42801</v>
      </c>
      <c r="C2329" s="132">
        <v>8946.9</v>
      </c>
      <c r="D2329" s="135">
        <f t="shared" si="36"/>
        <v>-0.00252601459723478</v>
      </c>
    </row>
    <row r="2330" ht="14.25" customHeight="1" spans="2:4">
      <c r="B2330" s="137">
        <v>42800</v>
      </c>
      <c r="C2330" s="132">
        <v>8963.45</v>
      </c>
      <c r="D2330" s="135">
        <f t="shared" si="36"/>
        <v>-0.00184638727275777</v>
      </c>
    </row>
    <row r="2331" ht="14.25" customHeight="1" spans="2:4">
      <c r="B2331" s="137">
        <v>42797</v>
      </c>
      <c r="C2331" s="132">
        <v>8897.55</v>
      </c>
      <c r="D2331" s="135">
        <f t="shared" si="36"/>
        <v>0.00740653325915575</v>
      </c>
    </row>
    <row r="2332" ht="14.25" customHeight="1" spans="2:4">
      <c r="B2332" s="137">
        <v>42796</v>
      </c>
      <c r="C2332" s="132">
        <v>8899.75</v>
      </c>
      <c r="D2332" s="135">
        <f t="shared" si="36"/>
        <v>-0.000247197954998835</v>
      </c>
    </row>
    <row r="2333" ht="14.25" customHeight="1" spans="2:4">
      <c r="B2333" s="137">
        <v>42795</v>
      </c>
      <c r="C2333" s="132">
        <v>8945.8</v>
      </c>
      <c r="D2333" s="135">
        <f t="shared" si="36"/>
        <v>-0.00514766706163783</v>
      </c>
    </row>
    <row r="2334" ht="14.25" customHeight="1" spans="2:4">
      <c r="B2334" s="137">
        <v>42794</v>
      </c>
      <c r="C2334" s="132">
        <v>8879.6</v>
      </c>
      <c r="D2334" s="135">
        <f t="shared" si="36"/>
        <v>0.00745529077886387</v>
      </c>
    </row>
    <row r="2335" ht="14.25" customHeight="1" spans="2:4">
      <c r="B2335" s="137">
        <v>42793</v>
      </c>
      <c r="C2335" s="132">
        <v>8896.7</v>
      </c>
      <c r="D2335" s="135">
        <f t="shared" si="36"/>
        <v>-0.00192206098890602</v>
      </c>
    </row>
    <row r="2336" ht="14.25" customHeight="1" spans="2:4">
      <c r="B2336" s="137">
        <v>42789</v>
      </c>
      <c r="C2336" s="132">
        <v>8939.5</v>
      </c>
      <c r="D2336" s="135">
        <f t="shared" si="36"/>
        <v>-0.00478773980647684</v>
      </c>
    </row>
    <row r="2337" ht="14.25" customHeight="1" spans="2:4">
      <c r="B2337" s="137">
        <v>42788</v>
      </c>
      <c r="C2337" s="132">
        <v>8926.9</v>
      </c>
      <c r="D2337" s="135">
        <f t="shared" si="36"/>
        <v>0.00141146422610317</v>
      </c>
    </row>
    <row r="2338" ht="14.25" customHeight="1" spans="2:4">
      <c r="B2338" s="137">
        <v>42787</v>
      </c>
      <c r="C2338" s="132">
        <v>8907.85</v>
      </c>
      <c r="D2338" s="135">
        <f t="shared" si="36"/>
        <v>0.002138563177422</v>
      </c>
    </row>
    <row r="2339" ht="14.25" customHeight="1" spans="2:4">
      <c r="B2339" s="137">
        <v>42786</v>
      </c>
      <c r="C2339" s="132">
        <v>8879.2</v>
      </c>
      <c r="D2339" s="135">
        <f t="shared" si="36"/>
        <v>0.00322664203982326</v>
      </c>
    </row>
    <row r="2340" ht="14.25" customHeight="1" spans="2:4">
      <c r="B2340" s="137">
        <v>42783</v>
      </c>
      <c r="C2340" s="132">
        <v>8821.7</v>
      </c>
      <c r="D2340" s="135">
        <f t="shared" si="36"/>
        <v>0.00651801806907959</v>
      </c>
    </row>
    <row r="2341" ht="14.25" customHeight="1" spans="2:4">
      <c r="B2341" s="137">
        <v>42782</v>
      </c>
      <c r="C2341" s="132">
        <v>8778</v>
      </c>
      <c r="D2341" s="135">
        <f t="shared" si="36"/>
        <v>0.00497835497835508</v>
      </c>
    </row>
    <row r="2342" ht="14.25" customHeight="1" spans="2:4">
      <c r="B2342" s="137">
        <v>42781</v>
      </c>
      <c r="C2342" s="132">
        <v>8724.7</v>
      </c>
      <c r="D2342" s="135">
        <f t="shared" si="36"/>
        <v>0.00610909257624903</v>
      </c>
    </row>
    <row r="2343" ht="14.25" customHeight="1" spans="2:4">
      <c r="B2343" s="137">
        <v>42780</v>
      </c>
      <c r="C2343" s="132">
        <v>8792.3</v>
      </c>
      <c r="D2343" s="135">
        <f t="shared" si="36"/>
        <v>-0.00768854565926991</v>
      </c>
    </row>
    <row r="2344" ht="14.25" customHeight="1" spans="2:4">
      <c r="B2344" s="137">
        <v>42779</v>
      </c>
      <c r="C2344" s="132">
        <v>8805.05</v>
      </c>
      <c r="D2344" s="135">
        <f t="shared" si="36"/>
        <v>-0.00144803266307403</v>
      </c>
    </row>
    <row r="2345" ht="14.25" customHeight="1" spans="2:4">
      <c r="B2345" s="137">
        <v>42776</v>
      </c>
      <c r="C2345" s="132">
        <v>8793.55</v>
      </c>
      <c r="D2345" s="135">
        <f t="shared" si="36"/>
        <v>0.00130777672271143</v>
      </c>
    </row>
    <row r="2346" ht="14.25" customHeight="1" spans="2:4">
      <c r="B2346" s="137">
        <v>42775</v>
      </c>
      <c r="C2346" s="132">
        <v>8778.4</v>
      </c>
      <c r="D2346" s="135">
        <f t="shared" si="36"/>
        <v>0.0017258270299827</v>
      </c>
    </row>
    <row r="2347" ht="14.25" customHeight="1" spans="2:4">
      <c r="B2347" s="137">
        <v>42774</v>
      </c>
      <c r="C2347" s="132">
        <v>8769.05</v>
      </c>
      <c r="D2347" s="135">
        <f t="shared" si="36"/>
        <v>0.00106625004989147</v>
      </c>
    </row>
    <row r="2348" ht="14.25" customHeight="1" spans="2:4">
      <c r="B2348" s="137">
        <v>42773</v>
      </c>
      <c r="C2348" s="132">
        <v>8768.3</v>
      </c>
      <c r="D2348" s="135">
        <f t="shared" si="36"/>
        <v>8.55353945463655e-5</v>
      </c>
    </row>
    <row r="2349" ht="14.25" customHeight="1" spans="2:4">
      <c r="B2349" s="137">
        <v>42772</v>
      </c>
      <c r="C2349" s="132">
        <v>8801.05</v>
      </c>
      <c r="D2349" s="135">
        <f t="shared" si="36"/>
        <v>-0.00372114690860748</v>
      </c>
    </row>
    <row r="2350" ht="14.25" customHeight="1" spans="2:4">
      <c r="B2350" s="137">
        <v>42769</v>
      </c>
      <c r="C2350" s="132">
        <v>8740.95</v>
      </c>
      <c r="D2350" s="135">
        <f t="shared" si="36"/>
        <v>0.0068756828491181</v>
      </c>
    </row>
    <row r="2351" ht="14.25" customHeight="1" spans="2:4">
      <c r="B2351" s="137">
        <v>42768</v>
      </c>
      <c r="C2351" s="132">
        <v>8734.25</v>
      </c>
      <c r="D2351" s="135">
        <f t="shared" si="36"/>
        <v>0.000767095056816602</v>
      </c>
    </row>
    <row r="2352" ht="14.25" customHeight="1" spans="2:4">
      <c r="B2352" s="137">
        <v>42767</v>
      </c>
      <c r="C2352" s="132">
        <v>8716.4</v>
      </c>
      <c r="D2352" s="135">
        <f t="shared" si="36"/>
        <v>0.00204786379698052</v>
      </c>
    </row>
    <row r="2353" ht="14.25" customHeight="1" spans="2:4">
      <c r="B2353" s="137">
        <v>42766</v>
      </c>
      <c r="C2353" s="132">
        <v>8561.3</v>
      </c>
      <c r="D2353" s="135">
        <f t="shared" si="36"/>
        <v>0.0181164075549274</v>
      </c>
    </row>
    <row r="2354" ht="14.25" customHeight="1" spans="2:4">
      <c r="B2354" s="137">
        <v>42765</v>
      </c>
      <c r="C2354" s="132">
        <v>8632.75</v>
      </c>
      <c r="D2354" s="135">
        <f t="shared" si="36"/>
        <v>-0.00827662100721105</v>
      </c>
    </row>
    <row r="2355" ht="14.25" customHeight="1" spans="2:4">
      <c r="B2355" s="137">
        <v>42762</v>
      </c>
      <c r="C2355" s="132">
        <v>8641.25</v>
      </c>
      <c r="D2355" s="135">
        <f t="shared" si="36"/>
        <v>-0.000983653985245136</v>
      </c>
    </row>
    <row r="2356" ht="14.25" customHeight="1" spans="2:4">
      <c r="B2356" s="137">
        <v>42760</v>
      </c>
      <c r="C2356" s="132">
        <v>8602.75</v>
      </c>
      <c r="D2356" s="135">
        <f t="shared" si="36"/>
        <v>0.00447531312661642</v>
      </c>
    </row>
    <row r="2357" ht="14.25" customHeight="1" spans="2:4">
      <c r="B2357" s="137">
        <v>42759</v>
      </c>
      <c r="C2357" s="132">
        <v>8475.8</v>
      </c>
      <c r="D2357" s="135">
        <f t="shared" si="36"/>
        <v>0.0149779371858705</v>
      </c>
    </row>
    <row r="2358" ht="14.25" customHeight="1" spans="2:4">
      <c r="B2358" s="137">
        <v>42758</v>
      </c>
      <c r="C2358" s="132">
        <v>8391.5</v>
      </c>
      <c r="D2358" s="135">
        <f t="shared" si="36"/>
        <v>0.0100458797592802</v>
      </c>
    </row>
    <row r="2359" ht="14.25" customHeight="1" spans="2:4">
      <c r="B2359" s="137">
        <v>42755</v>
      </c>
      <c r="C2359" s="132">
        <v>8349.35</v>
      </c>
      <c r="D2359" s="135">
        <f t="shared" si="36"/>
        <v>0.00504829717283384</v>
      </c>
    </row>
    <row r="2360" ht="14.25" customHeight="1" spans="2:4">
      <c r="B2360" s="137">
        <v>42754</v>
      </c>
      <c r="C2360" s="132">
        <v>8435.1</v>
      </c>
      <c r="D2360" s="135">
        <f t="shared" si="36"/>
        <v>-0.0101658545838224</v>
      </c>
    </row>
    <row r="2361" ht="14.25" customHeight="1" spans="2:4">
      <c r="B2361" s="137">
        <v>42753</v>
      </c>
      <c r="C2361" s="132">
        <v>8417</v>
      </c>
      <c r="D2361" s="135">
        <f t="shared" si="36"/>
        <v>0.00215040988475712</v>
      </c>
    </row>
    <row r="2362" ht="14.25" customHeight="1" spans="2:4">
      <c r="B2362" s="137">
        <v>42752</v>
      </c>
      <c r="C2362" s="132">
        <v>8398</v>
      </c>
      <c r="D2362" s="135">
        <f t="shared" si="36"/>
        <v>0.00226244343891402</v>
      </c>
    </row>
    <row r="2363" ht="14.25" customHeight="1" spans="2:4">
      <c r="B2363" s="137">
        <v>42751</v>
      </c>
      <c r="C2363" s="132">
        <v>8412.8</v>
      </c>
      <c r="D2363" s="135">
        <f t="shared" si="36"/>
        <v>-0.00175922403955864</v>
      </c>
    </row>
    <row r="2364" ht="14.25" customHeight="1" spans="2:4">
      <c r="B2364" s="137">
        <v>42748</v>
      </c>
      <c r="C2364" s="132">
        <v>8400.35</v>
      </c>
      <c r="D2364" s="135">
        <f t="shared" si="36"/>
        <v>0.00148208110376347</v>
      </c>
    </row>
    <row r="2365" ht="14.25" customHeight="1" spans="2:4">
      <c r="B2365" s="137">
        <v>42747</v>
      </c>
      <c r="C2365" s="132">
        <v>8407.2</v>
      </c>
      <c r="D2365" s="135">
        <f t="shared" si="36"/>
        <v>-0.000814777809496681</v>
      </c>
    </row>
    <row r="2366" ht="14.25" customHeight="1" spans="2:4">
      <c r="B2366" s="137">
        <v>42746</v>
      </c>
      <c r="C2366" s="132">
        <v>8380.65</v>
      </c>
      <c r="D2366" s="135">
        <f t="shared" si="36"/>
        <v>0.00316801202770689</v>
      </c>
    </row>
    <row r="2367" ht="14.25" customHeight="1" spans="2:4">
      <c r="B2367" s="137">
        <v>42745</v>
      </c>
      <c r="C2367" s="132">
        <v>8288.6</v>
      </c>
      <c r="D2367" s="135">
        <f t="shared" si="36"/>
        <v>0.0111056149410032</v>
      </c>
    </row>
    <row r="2368" ht="14.25" customHeight="1" spans="2:4">
      <c r="B2368" s="137">
        <v>42744</v>
      </c>
      <c r="C2368" s="132">
        <v>8236.05</v>
      </c>
      <c r="D2368" s="135">
        <f t="shared" si="36"/>
        <v>0.00638048579112582</v>
      </c>
    </row>
    <row r="2369" ht="14.25" customHeight="1" spans="2:4">
      <c r="B2369" s="137">
        <v>42741</v>
      </c>
      <c r="C2369" s="132">
        <v>8243.8</v>
      </c>
      <c r="D2369" s="135">
        <f t="shared" si="36"/>
        <v>-0.000940100439117852</v>
      </c>
    </row>
    <row r="2370" ht="14.25" customHeight="1" spans="2:4">
      <c r="B2370" s="137">
        <v>42740</v>
      </c>
      <c r="C2370" s="132">
        <v>8273.8</v>
      </c>
      <c r="D2370" s="135">
        <f t="shared" si="36"/>
        <v>-0.00362590345427738</v>
      </c>
    </row>
    <row r="2371" ht="14.25" customHeight="1" spans="2:4">
      <c r="B2371" s="137">
        <v>42739</v>
      </c>
      <c r="C2371" s="132">
        <v>8190.5</v>
      </c>
      <c r="D2371" s="135">
        <f t="shared" si="36"/>
        <v>0.0101703192723277</v>
      </c>
    </row>
    <row r="2372" ht="14.25" customHeight="1" spans="2:4">
      <c r="B2372" s="137">
        <v>42738</v>
      </c>
      <c r="C2372" s="132">
        <v>8192.25</v>
      </c>
      <c r="D2372" s="135">
        <f t="shared" si="36"/>
        <v>-0.00021361652781593</v>
      </c>
    </row>
    <row r="2373" ht="14.25" customHeight="1" spans="2:4">
      <c r="B2373" s="137">
        <v>42737</v>
      </c>
      <c r="C2373" s="132">
        <v>8179.5</v>
      </c>
      <c r="D2373" s="135">
        <f t="shared" si="36"/>
        <v>0.00155877498624601</v>
      </c>
    </row>
    <row r="2374" ht="14.25" customHeight="1" spans="2:4">
      <c r="B2374" s="137">
        <v>42734</v>
      </c>
      <c r="C2374" s="132">
        <v>8185.8</v>
      </c>
      <c r="D2374" s="135">
        <f t="shared" si="36"/>
        <v>-0.000769625448948208</v>
      </c>
    </row>
    <row r="2375" ht="14.25" customHeight="1" spans="2:4">
      <c r="B2375" s="137">
        <v>42733</v>
      </c>
      <c r="C2375" s="132">
        <v>8103.6</v>
      </c>
      <c r="D2375" s="135">
        <f t="shared" si="36"/>
        <v>0.0101436398637642</v>
      </c>
    </row>
    <row r="2376" ht="14.25" customHeight="1" spans="2:4">
      <c r="B2376" s="137">
        <v>42732</v>
      </c>
      <c r="C2376" s="132">
        <v>8034.85</v>
      </c>
      <c r="D2376" s="135">
        <f t="shared" si="36"/>
        <v>0.00855647585206931</v>
      </c>
    </row>
    <row r="2377" ht="14.25" customHeight="1" spans="2:4">
      <c r="B2377" s="137">
        <v>42731</v>
      </c>
      <c r="C2377" s="132">
        <v>8032.85</v>
      </c>
      <c r="D2377" s="135">
        <f t="shared" ref="D2377:D2440" si="37">C2376/C2377-1</f>
        <v>0.000248977635583847</v>
      </c>
    </row>
    <row r="2378" ht="14.25" customHeight="1" spans="2:4">
      <c r="B2378" s="137">
        <v>42730</v>
      </c>
      <c r="C2378" s="132">
        <v>7908.25</v>
      </c>
      <c r="D2378" s="135">
        <f t="shared" si="37"/>
        <v>0.0157556981633105</v>
      </c>
    </row>
    <row r="2379" ht="14.25" customHeight="1" spans="2:4">
      <c r="B2379" s="137">
        <v>42727</v>
      </c>
      <c r="C2379" s="132">
        <v>7985.75</v>
      </c>
      <c r="D2379" s="135">
        <f t="shared" si="37"/>
        <v>-0.00970478665122254</v>
      </c>
    </row>
    <row r="2380" ht="14.25" customHeight="1" spans="2:4">
      <c r="B2380" s="137">
        <v>42726</v>
      </c>
      <c r="C2380" s="132">
        <v>7979.1</v>
      </c>
      <c r="D2380" s="135">
        <f t="shared" si="37"/>
        <v>0.000833427328896796</v>
      </c>
    </row>
    <row r="2381" ht="14.25" customHeight="1" spans="2:4">
      <c r="B2381" s="137">
        <v>42725</v>
      </c>
      <c r="C2381" s="132">
        <v>8061.3</v>
      </c>
      <c r="D2381" s="135">
        <f t="shared" si="37"/>
        <v>-0.0101968665103643</v>
      </c>
    </row>
    <row r="2382" ht="14.25" customHeight="1" spans="2:4">
      <c r="B2382" s="137">
        <v>42724</v>
      </c>
      <c r="C2382" s="132">
        <v>8082.4</v>
      </c>
      <c r="D2382" s="135">
        <f t="shared" si="37"/>
        <v>-0.00261061070969015</v>
      </c>
    </row>
    <row r="2383" ht="14.25" customHeight="1" spans="2:4">
      <c r="B2383" s="137">
        <v>42723</v>
      </c>
      <c r="C2383" s="132">
        <v>8104.35</v>
      </c>
      <c r="D2383" s="135">
        <f t="shared" si="37"/>
        <v>-0.0027084220202731</v>
      </c>
    </row>
    <row r="2384" ht="14.25" customHeight="1" spans="2:4">
      <c r="B2384" s="137">
        <v>42720</v>
      </c>
      <c r="C2384" s="132">
        <v>8139.45</v>
      </c>
      <c r="D2384" s="135">
        <f t="shared" si="37"/>
        <v>-0.00431233068573422</v>
      </c>
    </row>
    <row r="2385" ht="14.25" customHeight="1" spans="2:4">
      <c r="B2385" s="137">
        <v>42719</v>
      </c>
      <c r="C2385" s="132">
        <v>8153.6</v>
      </c>
      <c r="D2385" s="135">
        <f t="shared" si="37"/>
        <v>-0.00173542974882268</v>
      </c>
    </row>
    <row r="2386" ht="14.25" customHeight="1" spans="2:4">
      <c r="B2386" s="137">
        <v>42718</v>
      </c>
      <c r="C2386" s="132">
        <v>8182.45</v>
      </c>
      <c r="D2386" s="135">
        <f t="shared" si="37"/>
        <v>-0.00352583883800073</v>
      </c>
    </row>
    <row r="2387" ht="14.25" customHeight="1" spans="2:4">
      <c r="B2387" s="137">
        <v>42717</v>
      </c>
      <c r="C2387" s="132">
        <v>8221.8</v>
      </c>
      <c r="D2387" s="135">
        <f t="shared" si="37"/>
        <v>-0.00478605658128384</v>
      </c>
    </row>
    <row r="2388" ht="14.25" customHeight="1" spans="2:4">
      <c r="B2388" s="137">
        <v>42716</v>
      </c>
      <c r="C2388" s="132">
        <v>8170.8</v>
      </c>
      <c r="D2388" s="135">
        <f t="shared" si="37"/>
        <v>0.00624173887501822</v>
      </c>
    </row>
    <row r="2389" ht="14.25" customHeight="1" spans="2:4">
      <c r="B2389" s="137">
        <v>42713</v>
      </c>
      <c r="C2389" s="132">
        <v>8261.75</v>
      </c>
      <c r="D2389" s="135">
        <f t="shared" si="37"/>
        <v>-0.0110085635609889</v>
      </c>
    </row>
    <row r="2390" ht="14.25" customHeight="1" spans="2:4">
      <c r="B2390" s="137">
        <v>42712</v>
      </c>
      <c r="C2390" s="132">
        <v>8246.85</v>
      </c>
      <c r="D2390" s="135">
        <f t="shared" si="37"/>
        <v>0.00180675045623468</v>
      </c>
    </row>
    <row r="2391" ht="14.25" customHeight="1" spans="2:4">
      <c r="B2391" s="137">
        <v>42711</v>
      </c>
      <c r="C2391" s="132">
        <v>8102.05</v>
      </c>
      <c r="D2391" s="135">
        <f t="shared" si="37"/>
        <v>0.0178720200443099</v>
      </c>
    </row>
    <row r="2392" ht="14.25" customHeight="1" spans="2:4">
      <c r="B2392" s="137">
        <v>42710</v>
      </c>
      <c r="C2392" s="132">
        <v>8143.15</v>
      </c>
      <c r="D2392" s="135">
        <f t="shared" si="37"/>
        <v>-0.00504718689941841</v>
      </c>
    </row>
    <row r="2393" ht="14.25" customHeight="1" spans="2:4">
      <c r="B2393" s="137">
        <v>42709</v>
      </c>
      <c r="C2393" s="132">
        <v>8128.75</v>
      </c>
      <c r="D2393" s="135">
        <f t="shared" si="37"/>
        <v>0.0017714900815009</v>
      </c>
    </row>
    <row r="2394" ht="14.25" customHeight="1" spans="2:4">
      <c r="B2394" s="137">
        <v>42706</v>
      </c>
      <c r="C2394" s="132">
        <v>8086.8</v>
      </c>
      <c r="D2394" s="135">
        <f t="shared" si="37"/>
        <v>0.00518746599396547</v>
      </c>
    </row>
    <row r="2395" ht="14.25" customHeight="1" spans="2:4">
      <c r="B2395" s="137">
        <v>42705</v>
      </c>
      <c r="C2395" s="132">
        <v>8192.9</v>
      </c>
      <c r="D2395" s="135">
        <f t="shared" si="37"/>
        <v>-0.0129502374006761</v>
      </c>
    </row>
    <row r="2396" ht="14.25" customHeight="1" spans="2:4">
      <c r="B2396" s="137">
        <v>42704</v>
      </c>
      <c r="C2396" s="132">
        <v>8224.5</v>
      </c>
      <c r="D2396" s="135">
        <f t="shared" si="37"/>
        <v>-0.00384217885585758</v>
      </c>
    </row>
    <row r="2397" ht="14.25" customHeight="1" spans="2:4">
      <c r="B2397" s="137">
        <v>42703</v>
      </c>
      <c r="C2397" s="132">
        <v>8142.15</v>
      </c>
      <c r="D2397" s="135">
        <f t="shared" si="37"/>
        <v>0.0101140362189349</v>
      </c>
    </row>
    <row r="2398" ht="14.25" customHeight="1" spans="2:4">
      <c r="B2398" s="137">
        <v>42702</v>
      </c>
      <c r="C2398" s="132">
        <v>8126.9</v>
      </c>
      <c r="D2398" s="135">
        <f t="shared" si="37"/>
        <v>0.00187648426829412</v>
      </c>
    </row>
    <row r="2399" ht="14.25" customHeight="1" spans="2:4">
      <c r="B2399" s="137">
        <v>42699</v>
      </c>
      <c r="C2399" s="132">
        <v>8114.3</v>
      </c>
      <c r="D2399" s="135">
        <f t="shared" si="37"/>
        <v>0.00155281416758069</v>
      </c>
    </row>
    <row r="2400" ht="14.25" customHeight="1" spans="2:4">
      <c r="B2400" s="137">
        <v>42698</v>
      </c>
      <c r="C2400" s="132">
        <v>7965.5</v>
      </c>
      <c r="D2400" s="135">
        <f t="shared" si="37"/>
        <v>0.0186805599146318</v>
      </c>
    </row>
    <row r="2401" ht="14.25" customHeight="1" spans="2:4">
      <c r="B2401" s="137">
        <v>42697</v>
      </c>
      <c r="C2401" s="132">
        <v>8033.3</v>
      </c>
      <c r="D2401" s="135">
        <f t="shared" si="37"/>
        <v>-0.00843986904509975</v>
      </c>
    </row>
    <row r="2402" ht="14.25" customHeight="1" spans="2:4">
      <c r="B2402" s="137">
        <v>42696</v>
      </c>
      <c r="C2402" s="132">
        <v>8002.3</v>
      </c>
      <c r="D2402" s="135">
        <f t="shared" si="37"/>
        <v>0.00387388625770102</v>
      </c>
    </row>
    <row r="2403" ht="14.25" customHeight="1" spans="2:4">
      <c r="B2403" s="137">
        <v>42695</v>
      </c>
      <c r="C2403" s="132">
        <v>7929.1</v>
      </c>
      <c r="D2403" s="135">
        <f t="shared" si="37"/>
        <v>0.00923181697796727</v>
      </c>
    </row>
    <row r="2404" ht="14.25" customHeight="1" spans="2:4">
      <c r="B2404" s="137">
        <v>42692</v>
      </c>
      <c r="C2404" s="132">
        <v>8074.1</v>
      </c>
      <c r="D2404" s="135">
        <f t="shared" si="37"/>
        <v>-0.0179586579309149</v>
      </c>
    </row>
    <row r="2405" ht="14.25" customHeight="1" spans="2:4">
      <c r="B2405" s="137">
        <v>42691</v>
      </c>
      <c r="C2405" s="132">
        <v>8079.95</v>
      </c>
      <c r="D2405" s="135">
        <f t="shared" si="37"/>
        <v>-0.000724014381277005</v>
      </c>
    </row>
    <row r="2406" ht="14.25" customHeight="1" spans="2:4">
      <c r="B2406" s="137">
        <v>42690</v>
      </c>
      <c r="C2406" s="132">
        <v>8111.6</v>
      </c>
      <c r="D2406" s="135">
        <f t="shared" si="37"/>
        <v>-0.00390181961635194</v>
      </c>
    </row>
    <row r="2407" ht="14.25" customHeight="1" spans="2:4">
      <c r="B2407" s="137">
        <v>42689</v>
      </c>
      <c r="C2407" s="132">
        <v>8108.45</v>
      </c>
      <c r="D2407" s="135">
        <f t="shared" si="37"/>
        <v>0.000388483618940727</v>
      </c>
    </row>
    <row r="2408" ht="14.25" customHeight="1" spans="2:4">
      <c r="B2408" s="137">
        <v>42685</v>
      </c>
      <c r="C2408" s="132">
        <v>8296.3</v>
      </c>
      <c r="D2408" s="135">
        <f t="shared" si="37"/>
        <v>-0.0226426238202572</v>
      </c>
    </row>
    <row r="2409" ht="14.25" customHeight="1" spans="2:4">
      <c r="B2409" s="137">
        <v>42684</v>
      </c>
      <c r="C2409" s="132">
        <v>8525.75</v>
      </c>
      <c r="D2409" s="135">
        <f t="shared" si="37"/>
        <v>-0.0269125883353372</v>
      </c>
    </row>
    <row r="2410" ht="14.25" customHeight="1" spans="2:4">
      <c r="B2410" s="137">
        <v>42683</v>
      </c>
      <c r="C2410" s="132">
        <v>8432</v>
      </c>
      <c r="D2410" s="135">
        <f t="shared" si="37"/>
        <v>0.0111183586337762</v>
      </c>
    </row>
    <row r="2411" ht="14.25" customHeight="1" spans="2:4">
      <c r="B2411" s="137">
        <v>42682</v>
      </c>
      <c r="C2411" s="132">
        <v>8543.55</v>
      </c>
      <c r="D2411" s="135">
        <f t="shared" si="37"/>
        <v>-0.0130566333666917</v>
      </c>
    </row>
    <row r="2412" ht="14.25" customHeight="1" spans="2:4">
      <c r="B2412" s="137">
        <v>42681</v>
      </c>
      <c r="C2412" s="132">
        <v>8497.05</v>
      </c>
      <c r="D2412" s="135">
        <f t="shared" si="37"/>
        <v>0.00547248751037133</v>
      </c>
    </row>
    <row r="2413" ht="14.25" customHeight="1" spans="2:4">
      <c r="B2413" s="137">
        <v>42678</v>
      </c>
      <c r="C2413" s="132">
        <v>8433.75</v>
      </c>
      <c r="D2413" s="135">
        <f t="shared" si="37"/>
        <v>0.00750555802578923</v>
      </c>
    </row>
    <row r="2414" ht="14.25" customHeight="1" spans="2:4">
      <c r="B2414" s="137">
        <v>42677</v>
      </c>
      <c r="C2414" s="132">
        <v>8484.95</v>
      </c>
      <c r="D2414" s="135">
        <f t="shared" si="37"/>
        <v>-0.00603421351923117</v>
      </c>
    </row>
    <row r="2415" ht="14.25" customHeight="1" spans="2:4">
      <c r="B2415" s="137">
        <v>42676</v>
      </c>
      <c r="C2415" s="132">
        <v>8514</v>
      </c>
      <c r="D2415" s="135">
        <f t="shared" si="37"/>
        <v>-0.0034120272492365</v>
      </c>
    </row>
    <row r="2416" ht="14.25" customHeight="1" spans="2:4">
      <c r="B2416" s="137">
        <v>42675</v>
      </c>
      <c r="C2416" s="132">
        <v>8626.25</v>
      </c>
      <c r="D2416" s="135">
        <f t="shared" si="37"/>
        <v>-0.0130126068685698</v>
      </c>
    </row>
    <row r="2417" ht="14.25" customHeight="1" spans="2:4">
      <c r="B2417" s="137">
        <v>42673</v>
      </c>
      <c r="C2417" s="132">
        <v>8625.7</v>
      </c>
      <c r="D2417" s="135">
        <f t="shared" si="37"/>
        <v>6.37629409785401e-5</v>
      </c>
    </row>
    <row r="2418" ht="14.25" customHeight="1" spans="2:4">
      <c r="B2418" s="137">
        <v>42671</v>
      </c>
      <c r="C2418" s="132">
        <v>8638</v>
      </c>
      <c r="D2418" s="135">
        <f t="shared" si="37"/>
        <v>-0.00142394072702001</v>
      </c>
    </row>
    <row r="2419" ht="14.25" customHeight="1" spans="2:4">
      <c r="B2419" s="137">
        <v>42670</v>
      </c>
      <c r="C2419" s="132">
        <v>8615.25</v>
      </c>
      <c r="D2419" s="135">
        <f t="shared" si="37"/>
        <v>0.00264066626041037</v>
      </c>
    </row>
    <row r="2420" ht="14.25" customHeight="1" spans="2:4">
      <c r="B2420" s="137">
        <v>42669</v>
      </c>
      <c r="C2420" s="132">
        <v>8615.25</v>
      </c>
      <c r="D2420" s="135">
        <f t="shared" si="37"/>
        <v>0</v>
      </c>
    </row>
    <row r="2421" ht="14.25" customHeight="1" spans="2:4">
      <c r="B2421" s="137">
        <v>42668</v>
      </c>
      <c r="C2421" s="132">
        <v>8691.3</v>
      </c>
      <c r="D2421" s="135">
        <f t="shared" si="37"/>
        <v>-0.00875012943978448</v>
      </c>
    </row>
    <row r="2422" ht="14.25" customHeight="1" spans="2:4">
      <c r="B2422" s="137">
        <v>42667</v>
      </c>
      <c r="C2422" s="132">
        <v>8708.95</v>
      </c>
      <c r="D2422" s="135">
        <f t="shared" si="37"/>
        <v>-0.00202665074434938</v>
      </c>
    </row>
    <row r="2423" ht="14.25" customHeight="1" spans="2:4">
      <c r="B2423" s="137">
        <v>42664</v>
      </c>
      <c r="C2423" s="132">
        <v>8693.05</v>
      </c>
      <c r="D2423" s="135">
        <f t="shared" si="37"/>
        <v>0.0018290473424174</v>
      </c>
    </row>
    <row r="2424" ht="14.25" customHeight="1" spans="2:4">
      <c r="B2424" s="137">
        <v>42663</v>
      </c>
      <c r="C2424" s="132">
        <v>8699.4</v>
      </c>
      <c r="D2424" s="135">
        <f t="shared" si="37"/>
        <v>-0.000729935397843606</v>
      </c>
    </row>
    <row r="2425" ht="14.25" customHeight="1" spans="2:4">
      <c r="B2425" s="137">
        <v>42662</v>
      </c>
      <c r="C2425" s="132">
        <v>8659.1</v>
      </c>
      <c r="D2425" s="135">
        <f t="shared" si="37"/>
        <v>0.00465406335531404</v>
      </c>
    </row>
    <row r="2426" ht="14.25" customHeight="1" spans="2:4">
      <c r="B2426" s="137">
        <v>42661</v>
      </c>
      <c r="C2426" s="132">
        <v>8677.9</v>
      </c>
      <c r="D2426" s="135">
        <f t="shared" si="37"/>
        <v>-0.00216642275204826</v>
      </c>
    </row>
    <row r="2427" ht="14.25" customHeight="1" spans="2:4">
      <c r="B2427" s="137">
        <v>42660</v>
      </c>
      <c r="C2427" s="132">
        <v>8520.4</v>
      </c>
      <c r="D2427" s="135">
        <f t="shared" si="37"/>
        <v>0.0184850476503451</v>
      </c>
    </row>
    <row r="2428" ht="14.25" customHeight="1" spans="2:4">
      <c r="B2428" s="137">
        <v>42657</v>
      </c>
      <c r="C2428" s="132">
        <v>8583.4</v>
      </c>
      <c r="D2428" s="135">
        <f t="shared" si="37"/>
        <v>-0.00733974881748489</v>
      </c>
    </row>
    <row r="2429" ht="14.25" customHeight="1" spans="2:4">
      <c r="B2429" s="137">
        <v>42656</v>
      </c>
      <c r="C2429" s="132">
        <v>8573.35</v>
      </c>
      <c r="D2429" s="135">
        <f t="shared" si="37"/>
        <v>0.00117223722348903</v>
      </c>
    </row>
    <row r="2430" ht="14.25" customHeight="1" spans="2:4">
      <c r="B2430" s="137">
        <v>42653</v>
      </c>
      <c r="C2430" s="132">
        <v>8708.8</v>
      </c>
      <c r="D2430" s="135">
        <f t="shared" si="37"/>
        <v>-0.0155532335109313</v>
      </c>
    </row>
    <row r="2431" ht="14.25" customHeight="1" spans="2:4">
      <c r="B2431" s="137">
        <v>42650</v>
      </c>
      <c r="C2431" s="132">
        <v>8697.6</v>
      </c>
      <c r="D2431" s="135">
        <f t="shared" si="37"/>
        <v>0.00128771155261198</v>
      </c>
    </row>
    <row r="2432" ht="14.25" customHeight="1" spans="2:4">
      <c r="B2432" s="137">
        <v>42649</v>
      </c>
      <c r="C2432" s="132">
        <v>8709.55</v>
      </c>
      <c r="D2432" s="135">
        <f t="shared" si="37"/>
        <v>-0.00137205710972421</v>
      </c>
    </row>
    <row r="2433" ht="14.25" customHeight="1" spans="2:4">
      <c r="B2433" s="137">
        <v>42648</v>
      </c>
      <c r="C2433" s="132">
        <v>8743.95</v>
      </c>
      <c r="D2433" s="135">
        <f t="shared" si="37"/>
        <v>-0.00393414875428166</v>
      </c>
    </row>
    <row r="2434" ht="14.25" customHeight="1" spans="2:4">
      <c r="B2434" s="137">
        <v>42647</v>
      </c>
      <c r="C2434" s="132">
        <v>8769.15</v>
      </c>
      <c r="D2434" s="135">
        <f t="shared" si="37"/>
        <v>-0.00287371067891407</v>
      </c>
    </row>
    <row r="2435" ht="14.25" customHeight="1" spans="2:4">
      <c r="B2435" s="137">
        <v>42646</v>
      </c>
      <c r="C2435" s="132">
        <v>8738.1</v>
      </c>
      <c r="D2435" s="135">
        <f t="shared" si="37"/>
        <v>0.00355340405809046</v>
      </c>
    </row>
    <row r="2436" ht="14.25" customHeight="1" spans="2:4">
      <c r="B2436" s="137">
        <v>42643</v>
      </c>
      <c r="C2436" s="132">
        <v>8611.15</v>
      </c>
      <c r="D2436" s="135">
        <f t="shared" si="37"/>
        <v>0.0147425140660655</v>
      </c>
    </row>
    <row r="2437" ht="14.25" customHeight="1" spans="2:4">
      <c r="B2437" s="137">
        <v>42642</v>
      </c>
      <c r="C2437" s="132">
        <v>8591.25</v>
      </c>
      <c r="D2437" s="135">
        <f t="shared" si="37"/>
        <v>0.00231631019933065</v>
      </c>
    </row>
    <row r="2438" ht="14.25" customHeight="1" spans="2:4">
      <c r="B2438" s="137">
        <v>42641</v>
      </c>
      <c r="C2438" s="132">
        <v>8745.15</v>
      </c>
      <c r="D2438" s="135">
        <f t="shared" si="37"/>
        <v>-0.0175983259292293</v>
      </c>
    </row>
    <row r="2439" ht="14.25" customHeight="1" spans="2:4">
      <c r="B2439" s="137">
        <v>42640</v>
      </c>
      <c r="C2439" s="132">
        <v>8706.4</v>
      </c>
      <c r="D2439" s="135">
        <f t="shared" si="37"/>
        <v>0.00445074887439123</v>
      </c>
    </row>
    <row r="2440" ht="14.25" customHeight="1" spans="2:4">
      <c r="B2440" s="137">
        <v>42639</v>
      </c>
      <c r="C2440" s="132">
        <v>8723.05</v>
      </c>
      <c r="D2440" s="135">
        <f t="shared" si="37"/>
        <v>-0.00190873604989072</v>
      </c>
    </row>
    <row r="2441" ht="14.25" customHeight="1" spans="2:4">
      <c r="B2441" s="137">
        <v>42636</v>
      </c>
      <c r="C2441" s="132">
        <v>8831.55</v>
      </c>
      <c r="D2441" s="135">
        <f t="shared" ref="D2441:D2504" si="38">C2440/C2441-1</f>
        <v>-0.0122854991479412</v>
      </c>
    </row>
    <row r="2442" ht="14.25" customHeight="1" spans="2:4">
      <c r="B2442" s="137">
        <v>42635</v>
      </c>
      <c r="C2442" s="132">
        <v>8867.45</v>
      </c>
      <c r="D2442" s="135">
        <f t="shared" si="38"/>
        <v>-0.00404851451093624</v>
      </c>
    </row>
    <row r="2443" ht="14.25" customHeight="1" spans="2:4">
      <c r="B2443" s="137">
        <v>42634</v>
      </c>
      <c r="C2443" s="132">
        <v>8777.15</v>
      </c>
      <c r="D2443" s="135">
        <f t="shared" si="38"/>
        <v>0.0102880775650411</v>
      </c>
    </row>
    <row r="2444" ht="14.25" customHeight="1" spans="2:4">
      <c r="B2444" s="137">
        <v>42633</v>
      </c>
      <c r="C2444" s="132">
        <v>8775.9</v>
      </c>
      <c r="D2444" s="135">
        <f t="shared" si="38"/>
        <v>0.000142435533677432</v>
      </c>
    </row>
    <row r="2445" ht="14.25" customHeight="1" spans="2:4">
      <c r="B2445" s="137">
        <v>42632</v>
      </c>
      <c r="C2445" s="132">
        <v>8808.4</v>
      </c>
      <c r="D2445" s="135">
        <f t="shared" si="38"/>
        <v>-0.00368965987012393</v>
      </c>
    </row>
    <row r="2446" ht="14.25" customHeight="1" spans="2:4">
      <c r="B2446" s="137">
        <v>42629</v>
      </c>
      <c r="C2446" s="132">
        <v>8779.85</v>
      </c>
      <c r="D2446" s="135">
        <f t="shared" si="38"/>
        <v>0.0032517639823002</v>
      </c>
    </row>
    <row r="2447" ht="14.25" customHeight="1" spans="2:4">
      <c r="B2447" s="137">
        <v>42628</v>
      </c>
      <c r="C2447" s="132">
        <v>8742.55</v>
      </c>
      <c r="D2447" s="135">
        <f t="shared" si="38"/>
        <v>0.00426648975413357</v>
      </c>
    </row>
    <row r="2448" ht="14.25" customHeight="1" spans="2:4">
      <c r="B2448" s="137">
        <v>42627</v>
      </c>
      <c r="C2448" s="132">
        <v>8726.6</v>
      </c>
      <c r="D2448" s="135">
        <f t="shared" si="38"/>
        <v>0.00182774505534788</v>
      </c>
    </row>
    <row r="2449" ht="14.25" customHeight="1" spans="2:4">
      <c r="B2449" s="137">
        <v>42625</v>
      </c>
      <c r="C2449" s="132">
        <v>8715.6</v>
      </c>
      <c r="D2449" s="135">
        <f t="shared" si="38"/>
        <v>0.00126210473174537</v>
      </c>
    </row>
    <row r="2450" ht="14.25" customHeight="1" spans="2:4">
      <c r="B2450" s="137">
        <v>42622</v>
      </c>
      <c r="C2450" s="132">
        <v>8866.7</v>
      </c>
      <c r="D2450" s="135">
        <f t="shared" si="38"/>
        <v>-0.0170412893184613</v>
      </c>
    </row>
    <row r="2451" ht="14.25" customHeight="1" spans="2:4">
      <c r="B2451" s="137">
        <v>42621</v>
      </c>
      <c r="C2451" s="132">
        <v>8952.5</v>
      </c>
      <c r="D2451" s="135">
        <f t="shared" si="38"/>
        <v>-0.00958391510751178</v>
      </c>
    </row>
    <row r="2452" ht="14.25" customHeight="1" spans="2:4">
      <c r="B2452" s="137">
        <v>42620</v>
      </c>
      <c r="C2452" s="132">
        <v>8917.95</v>
      </c>
      <c r="D2452" s="135">
        <f t="shared" si="38"/>
        <v>0.00387420875873934</v>
      </c>
    </row>
    <row r="2453" ht="14.25" customHeight="1" spans="2:4">
      <c r="B2453" s="137">
        <v>42619</v>
      </c>
      <c r="C2453" s="132">
        <v>8943</v>
      </c>
      <c r="D2453" s="135">
        <f t="shared" si="38"/>
        <v>-0.00280107346528002</v>
      </c>
    </row>
    <row r="2454" ht="14.25" customHeight="1" spans="2:4">
      <c r="B2454" s="137">
        <v>42615</v>
      </c>
      <c r="C2454" s="132">
        <v>8809.65</v>
      </c>
      <c r="D2454" s="135">
        <f t="shared" si="38"/>
        <v>0.0151368102024485</v>
      </c>
    </row>
    <row r="2455" ht="14.25" customHeight="1" spans="2:4">
      <c r="B2455" s="137">
        <v>42614</v>
      </c>
      <c r="C2455" s="132">
        <v>8774.65</v>
      </c>
      <c r="D2455" s="135">
        <f t="shared" si="38"/>
        <v>0.00398876308456741</v>
      </c>
    </row>
    <row r="2456" ht="14.25" customHeight="1" spans="2:4">
      <c r="B2456" s="137">
        <v>42613</v>
      </c>
      <c r="C2456" s="132">
        <v>8786.2</v>
      </c>
      <c r="D2456" s="135">
        <f t="shared" si="38"/>
        <v>-0.00131456147139841</v>
      </c>
    </row>
    <row r="2457" ht="14.25" customHeight="1" spans="2:4">
      <c r="B2457" s="137">
        <v>42612</v>
      </c>
      <c r="C2457" s="132">
        <v>8744.35</v>
      </c>
      <c r="D2457" s="135">
        <f t="shared" si="38"/>
        <v>0.00478594749752692</v>
      </c>
    </row>
    <row r="2458" ht="14.25" customHeight="1" spans="2:4">
      <c r="B2458" s="137">
        <v>42611</v>
      </c>
      <c r="C2458" s="132">
        <v>8607.45</v>
      </c>
      <c r="D2458" s="135">
        <f t="shared" si="38"/>
        <v>0.0159048266327426</v>
      </c>
    </row>
    <row r="2459" ht="14.25" customHeight="1" spans="2:4">
      <c r="B2459" s="137">
        <v>42608</v>
      </c>
      <c r="C2459" s="132">
        <v>8572.55</v>
      </c>
      <c r="D2459" s="135">
        <f t="shared" si="38"/>
        <v>0.00407113402663173</v>
      </c>
    </row>
    <row r="2460" ht="14.25" customHeight="1" spans="2:4">
      <c r="B2460" s="137">
        <v>42607</v>
      </c>
      <c r="C2460" s="132">
        <v>8592.2</v>
      </c>
      <c r="D2460" s="135">
        <f t="shared" si="38"/>
        <v>-0.00228695793859568</v>
      </c>
    </row>
    <row r="2461" ht="14.25" customHeight="1" spans="2:4">
      <c r="B2461" s="137">
        <v>42606</v>
      </c>
      <c r="C2461" s="132">
        <v>8650.3</v>
      </c>
      <c r="D2461" s="135">
        <f t="shared" si="38"/>
        <v>-0.00671653006254103</v>
      </c>
    </row>
    <row r="2462" ht="14.25" customHeight="1" spans="2:4">
      <c r="B2462" s="137">
        <v>42605</v>
      </c>
      <c r="C2462" s="132">
        <v>8632.6</v>
      </c>
      <c r="D2462" s="135">
        <f t="shared" si="38"/>
        <v>0.00205036721265883</v>
      </c>
    </row>
    <row r="2463" ht="14.25" customHeight="1" spans="2:4">
      <c r="B2463" s="137">
        <v>42604</v>
      </c>
      <c r="C2463" s="132">
        <v>8629.15</v>
      </c>
      <c r="D2463" s="135">
        <f t="shared" si="38"/>
        <v>0.000399807628793214</v>
      </c>
    </row>
    <row r="2464" ht="14.25" customHeight="1" spans="2:4">
      <c r="B2464" s="137">
        <v>42601</v>
      </c>
      <c r="C2464" s="132">
        <v>8666.9</v>
      </c>
      <c r="D2464" s="135">
        <f t="shared" si="38"/>
        <v>-0.00435565196321641</v>
      </c>
    </row>
    <row r="2465" ht="14.25" customHeight="1" spans="2:4">
      <c r="B2465" s="137">
        <v>42600</v>
      </c>
      <c r="C2465" s="132">
        <v>8673.25</v>
      </c>
      <c r="D2465" s="135">
        <f t="shared" si="38"/>
        <v>-0.000732136165797148</v>
      </c>
    </row>
    <row r="2466" ht="14.25" customHeight="1" spans="2:4">
      <c r="B2466" s="137">
        <v>42599</v>
      </c>
      <c r="C2466" s="132">
        <v>8624.05</v>
      </c>
      <c r="D2466" s="135">
        <f t="shared" si="38"/>
        <v>0.00570497620027721</v>
      </c>
    </row>
    <row r="2467" ht="14.25" customHeight="1" spans="2:4">
      <c r="B2467" s="137">
        <v>42598</v>
      </c>
      <c r="C2467" s="132">
        <v>8642.55</v>
      </c>
      <c r="D2467" s="135">
        <f t="shared" si="38"/>
        <v>-0.00214057193768047</v>
      </c>
    </row>
    <row r="2468" ht="14.25" customHeight="1" spans="2:4">
      <c r="B2468" s="137">
        <v>42594</v>
      </c>
      <c r="C2468" s="132">
        <v>8672.15</v>
      </c>
      <c r="D2468" s="135">
        <f t="shared" si="38"/>
        <v>-0.00341322509412323</v>
      </c>
    </row>
    <row r="2469" ht="14.25" customHeight="1" spans="2:4">
      <c r="B2469" s="137">
        <v>42593</v>
      </c>
      <c r="C2469" s="132">
        <v>8592.15</v>
      </c>
      <c r="D2469" s="135">
        <f t="shared" si="38"/>
        <v>0.00931082441530928</v>
      </c>
    </row>
    <row r="2470" ht="14.25" customHeight="1" spans="2:4">
      <c r="B2470" s="137">
        <v>42592</v>
      </c>
      <c r="C2470" s="132">
        <v>8575.3</v>
      </c>
      <c r="D2470" s="135">
        <f t="shared" si="38"/>
        <v>0.00196494583279883</v>
      </c>
    </row>
    <row r="2471" ht="14.25" customHeight="1" spans="2:4">
      <c r="B2471" s="137">
        <v>42591</v>
      </c>
      <c r="C2471" s="132">
        <v>8678.25</v>
      </c>
      <c r="D2471" s="135">
        <f t="shared" si="38"/>
        <v>-0.0118629908103594</v>
      </c>
    </row>
    <row r="2472" ht="14.25" customHeight="1" spans="2:4">
      <c r="B2472" s="137">
        <v>42590</v>
      </c>
      <c r="C2472" s="132">
        <v>8711.35</v>
      </c>
      <c r="D2472" s="135">
        <f t="shared" si="38"/>
        <v>-0.00379964069862881</v>
      </c>
    </row>
    <row r="2473" ht="14.25" customHeight="1" spans="2:4">
      <c r="B2473" s="137">
        <v>42587</v>
      </c>
      <c r="C2473" s="132">
        <v>8683.15</v>
      </c>
      <c r="D2473" s="135">
        <f t="shared" si="38"/>
        <v>0.00324766933658882</v>
      </c>
    </row>
    <row r="2474" ht="14.25" customHeight="1" spans="2:4">
      <c r="B2474" s="137">
        <v>42586</v>
      </c>
      <c r="C2474" s="132">
        <v>8551.1</v>
      </c>
      <c r="D2474" s="135">
        <f t="shared" si="38"/>
        <v>0.015442457695501</v>
      </c>
    </row>
    <row r="2475" ht="14.25" customHeight="1" spans="2:4">
      <c r="B2475" s="137">
        <v>42585</v>
      </c>
      <c r="C2475" s="132">
        <v>8544.85</v>
      </c>
      <c r="D2475" s="135">
        <f t="shared" si="38"/>
        <v>0.000731434723839408</v>
      </c>
    </row>
    <row r="2476" ht="14.25" customHeight="1" spans="2:4">
      <c r="B2476" s="137">
        <v>42584</v>
      </c>
      <c r="C2476" s="132">
        <v>8622.9</v>
      </c>
      <c r="D2476" s="135">
        <f t="shared" si="38"/>
        <v>-0.00905147920073279</v>
      </c>
    </row>
    <row r="2477" ht="14.25" customHeight="1" spans="2:4">
      <c r="B2477" s="137">
        <v>42583</v>
      </c>
      <c r="C2477" s="132">
        <v>8636.55</v>
      </c>
      <c r="D2477" s="135">
        <f t="shared" si="38"/>
        <v>-0.00158049221043122</v>
      </c>
    </row>
    <row r="2478" ht="14.25" customHeight="1" spans="2:4">
      <c r="B2478" s="137">
        <v>42580</v>
      </c>
      <c r="C2478" s="132">
        <v>8638.5</v>
      </c>
      <c r="D2478" s="135">
        <f t="shared" si="38"/>
        <v>-0.000225733634311553</v>
      </c>
    </row>
    <row r="2479" ht="14.25" customHeight="1" spans="2:4">
      <c r="B2479" s="137">
        <v>42579</v>
      </c>
      <c r="C2479" s="132">
        <v>8666.3</v>
      </c>
      <c r="D2479" s="135">
        <f t="shared" si="38"/>
        <v>-0.00320782802349318</v>
      </c>
    </row>
    <row r="2480" ht="14.25" customHeight="1" spans="2:4">
      <c r="B2480" s="137">
        <v>42578</v>
      </c>
      <c r="C2480" s="132">
        <v>8615.8</v>
      </c>
      <c r="D2480" s="135">
        <f t="shared" si="38"/>
        <v>0.00586132454328103</v>
      </c>
    </row>
    <row r="2481" ht="14.25" customHeight="1" spans="2:4">
      <c r="B2481" s="137">
        <v>42577</v>
      </c>
      <c r="C2481" s="132">
        <v>8590.65</v>
      </c>
      <c r="D2481" s="135">
        <f t="shared" si="38"/>
        <v>0.00292760152025751</v>
      </c>
    </row>
    <row r="2482" ht="14.25" customHeight="1" spans="2:4">
      <c r="B2482" s="137">
        <v>42576</v>
      </c>
      <c r="C2482" s="132">
        <v>8635.65</v>
      </c>
      <c r="D2482" s="135">
        <f t="shared" si="38"/>
        <v>-0.00521095690538642</v>
      </c>
    </row>
    <row r="2483" ht="14.25" customHeight="1" spans="2:4">
      <c r="B2483" s="137">
        <v>42573</v>
      </c>
      <c r="C2483" s="132">
        <v>8541.2</v>
      </c>
      <c r="D2483" s="135">
        <f t="shared" si="38"/>
        <v>0.0110581651290216</v>
      </c>
    </row>
    <row r="2484" ht="14.25" customHeight="1" spans="2:4">
      <c r="B2484" s="137">
        <v>42572</v>
      </c>
      <c r="C2484" s="132">
        <v>8510.1</v>
      </c>
      <c r="D2484" s="135">
        <f t="shared" si="38"/>
        <v>0.00365448114593248</v>
      </c>
    </row>
    <row r="2485" ht="14.25" customHeight="1" spans="2:4">
      <c r="B2485" s="137">
        <v>42571</v>
      </c>
      <c r="C2485" s="132">
        <v>8565.85</v>
      </c>
      <c r="D2485" s="135">
        <f t="shared" si="38"/>
        <v>-0.00650840255199425</v>
      </c>
    </row>
    <row r="2486" ht="14.25" customHeight="1" spans="2:4">
      <c r="B2486" s="137">
        <v>42570</v>
      </c>
      <c r="C2486" s="132">
        <v>8528.55</v>
      </c>
      <c r="D2486" s="135">
        <f t="shared" si="38"/>
        <v>0.00437354532716605</v>
      </c>
    </row>
    <row r="2487" ht="14.25" customHeight="1" spans="2:4">
      <c r="B2487" s="137">
        <v>42569</v>
      </c>
      <c r="C2487" s="132">
        <v>8508.7</v>
      </c>
      <c r="D2487" s="135">
        <f t="shared" si="38"/>
        <v>0.00233290631941419</v>
      </c>
    </row>
    <row r="2488" ht="14.25" customHeight="1" spans="2:4">
      <c r="B2488" s="137">
        <v>42566</v>
      </c>
      <c r="C2488" s="132">
        <v>8541.4</v>
      </c>
      <c r="D2488" s="135">
        <f t="shared" si="38"/>
        <v>-0.00382841220408825</v>
      </c>
    </row>
    <row r="2489" ht="14.25" customHeight="1" spans="2:4">
      <c r="B2489" s="137">
        <v>42565</v>
      </c>
      <c r="C2489" s="132">
        <v>8565</v>
      </c>
      <c r="D2489" s="135">
        <f t="shared" si="38"/>
        <v>-0.0027553998832458</v>
      </c>
    </row>
    <row r="2490" ht="14.25" customHeight="1" spans="2:4">
      <c r="B2490" s="137">
        <v>42564</v>
      </c>
      <c r="C2490" s="132">
        <v>8519.5</v>
      </c>
      <c r="D2490" s="135">
        <f t="shared" si="38"/>
        <v>0.0053406890075709</v>
      </c>
    </row>
    <row r="2491" ht="14.25" customHeight="1" spans="2:4">
      <c r="B2491" s="137">
        <v>42563</v>
      </c>
      <c r="C2491" s="132">
        <v>8521.05</v>
      </c>
      <c r="D2491" s="135">
        <f t="shared" si="38"/>
        <v>-0.000181902465071659</v>
      </c>
    </row>
    <row r="2492" ht="14.25" customHeight="1" spans="2:4">
      <c r="B2492" s="137">
        <v>42562</v>
      </c>
      <c r="C2492" s="132">
        <v>8467.9</v>
      </c>
      <c r="D2492" s="135">
        <f t="shared" si="38"/>
        <v>0.00627664474072676</v>
      </c>
    </row>
    <row r="2493" ht="14.25" customHeight="1" spans="2:4">
      <c r="B2493" s="137">
        <v>42559</v>
      </c>
      <c r="C2493" s="132">
        <v>8323.2</v>
      </c>
      <c r="D2493" s="135">
        <f t="shared" si="38"/>
        <v>0.017385140330642</v>
      </c>
    </row>
    <row r="2494" ht="14.25" customHeight="1" spans="2:4">
      <c r="B2494" s="137">
        <v>42558</v>
      </c>
      <c r="C2494" s="132">
        <v>8337.9</v>
      </c>
      <c r="D2494" s="135">
        <f t="shared" si="38"/>
        <v>-0.00176303385744603</v>
      </c>
    </row>
    <row r="2495" ht="14.25" customHeight="1" spans="2:4">
      <c r="B2495" s="137">
        <v>42556</v>
      </c>
      <c r="C2495" s="132">
        <v>8335.95</v>
      </c>
      <c r="D2495" s="135">
        <f t="shared" si="38"/>
        <v>0.000233926547064112</v>
      </c>
    </row>
    <row r="2496" ht="14.25" customHeight="1" spans="2:4">
      <c r="B2496" s="137">
        <v>42555</v>
      </c>
      <c r="C2496" s="132">
        <v>8370.7</v>
      </c>
      <c r="D2496" s="135">
        <f t="shared" si="38"/>
        <v>-0.00415138518881331</v>
      </c>
    </row>
    <row r="2497" ht="14.25" customHeight="1" spans="2:4">
      <c r="B2497" s="137">
        <v>42552</v>
      </c>
      <c r="C2497" s="132">
        <v>8328.35</v>
      </c>
      <c r="D2497" s="135">
        <f t="shared" si="38"/>
        <v>0.00508504085443096</v>
      </c>
    </row>
    <row r="2498" ht="14.25" customHeight="1" spans="2:4">
      <c r="B2498" s="137">
        <v>42551</v>
      </c>
      <c r="C2498" s="132">
        <v>8287.75</v>
      </c>
      <c r="D2498" s="135">
        <f t="shared" si="38"/>
        <v>0.00489879641639779</v>
      </c>
    </row>
    <row r="2499" ht="14.25" customHeight="1" spans="2:4">
      <c r="B2499" s="137">
        <v>42550</v>
      </c>
      <c r="C2499" s="132">
        <v>8204</v>
      </c>
      <c r="D2499" s="135">
        <f t="shared" si="38"/>
        <v>0.0102084349098002</v>
      </c>
    </row>
    <row r="2500" ht="14.25" customHeight="1" spans="2:4">
      <c r="B2500" s="137">
        <v>42549</v>
      </c>
      <c r="C2500" s="132">
        <v>8127.85</v>
      </c>
      <c r="D2500" s="135">
        <f t="shared" si="38"/>
        <v>0.0093690213279034</v>
      </c>
    </row>
    <row r="2501" ht="14.25" customHeight="1" spans="2:4">
      <c r="B2501" s="137">
        <v>42548</v>
      </c>
      <c r="C2501" s="132">
        <v>8094.7</v>
      </c>
      <c r="D2501" s="135">
        <f t="shared" si="38"/>
        <v>0.00409527221515327</v>
      </c>
    </row>
    <row r="2502" ht="14.25" customHeight="1" spans="2:4">
      <c r="B2502" s="137">
        <v>42545</v>
      </c>
      <c r="C2502" s="132">
        <v>8088.6</v>
      </c>
      <c r="D2502" s="135">
        <f t="shared" si="38"/>
        <v>0.00075414781297134</v>
      </c>
    </row>
    <row r="2503" ht="14.25" customHeight="1" spans="2:4">
      <c r="B2503" s="137">
        <v>42544</v>
      </c>
      <c r="C2503" s="132">
        <v>8270.45</v>
      </c>
      <c r="D2503" s="135">
        <f t="shared" si="38"/>
        <v>-0.0219879208507398</v>
      </c>
    </row>
    <row r="2504" ht="14.25" customHeight="1" spans="2:4">
      <c r="B2504" s="137">
        <v>42543</v>
      </c>
      <c r="C2504" s="132">
        <v>8203.7</v>
      </c>
      <c r="D2504" s="135">
        <f t="shared" si="38"/>
        <v>0.00813657252215472</v>
      </c>
    </row>
    <row r="2505" ht="14.25" customHeight="1" spans="2:4">
      <c r="B2505" s="137">
        <v>42542</v>
      </c>
      <c r="C2505" s="132">
        <v>8219.9</v>
      </c>
      <c r="D2505" s="135">
        <f t="shared" ref="D2505:D2568" si="39">C2504/C2505-1</f>
        <v>-0.00197082689570416</v>
      </c>
    </row>
    <row r="2506" ht="14.25" customHeight="1" spans="2:4">
      <c r="B2506" s="137">
        <v>42541</v>
      </c>
      <c r="C2506" s="132">
        <v>8238.5</v>
      </c>
      <c r="D2506" s="135">
        <f t="shared" si="39"/>
        <v>-0.00225769254111796</v>
      </c>
    </row>
    <row r="2507" ht="14.25" customHeight="1" spans="2:4">
      <c r="B2507" s="137">
        <v>42538</v>
      </c>
      <c r="C2507" s="132">
        <v>8170.2</v>
      </c>
      <c r="D2507" s="135">
        <f t="shared" si="39"/>
        <v>0.00835964847861748</v>
      </c>
    </row>
    <row r="2508" ht="14.25" customHeight="1" spans="2:4">
      <c r="B2508" s="137">
        <v>42537</v>
      </c>
      <c r="C2508" s="132">
        <v>8140.75</v>
      </c>
      <c r="D2508" s="135">
        <f t="shared" si="39"/>
        <v>0.00361760280072465</v>
      </c>
    </row>
    <row r="2509" ht="14.25" customHeight="1" spans="2:4">
      <c r="B2509" s="137">
        <v>42536</v>
      </c>
      <c r="C2509" s="132">
        <v>8206.6</v>
      </c>
      <c r="D2509" s="135">
        <f t="shared" si="39"/>
        <v>-0.00802402943971925</v>
      </c>
    </row>
    <row r="2510" ht="14.25" customHeight="1" spans="2:4">
      <c r="B2510" s="137">
        <v>42535</v>
      </c>
      <c r="C2510" s="132">
        <v>8108.85</v>
      </c>
      <c r="D2510" s="135">
        <f t="shared" si="39"/>
        <v>0.0120547303255085</v>
      </c>
    </row>
    <row r="2511" ht="14.25" customHeight="1" spans="2:4">
      <c r="B2511" s="137">
        <v>42534</v>
      </c>
      <c r="C2511" s="132">
        <v>8110.6</v>
      </c>
      <c r="D2511" s="135">
        <f t="shared" si="39"/>
        <v>-0.00021576702093562</v>
      </c>
    </row>
    <row r="2512" ht="14.25" customHeight="1" spans="2:4">
      <c r="B2512" s="137">
        <v>42531</v>
      </c>
      <c r="C2512" s="132">
        <v>8170.05</v>
      </c>
      <c r="D2512" s="135">
        <f t="shared" si="39"/>
        <v>-0.00727657725472919</v>
      </c>
    </row>
    <row r="2513" ht="14.25" customHeight="1" spans="2:4">
      <c r="B2513" s="137">
        <v>42530</v>
      </c>
      <c r="C2513" s="132">
        <v>8203.6</v>
      </c>
      <c r="D2513" s="135">
        <f t="shared" si="39"/>
        <v>-0.0040896679506558</v>
      </c>
    </row>
    <row r="2514" ht="14.25" customHeight="1" spans="2:4">
      <c r="B2514" s="137">
        <v>42529</v>
      </c>
      <c r="C2514" s="132">
        <v>8273.05</v>
      </c>
      <c r="D2514" s="135">
        <f t="shared" si="39"/>
        <v>-0.00839472745843417</v>
      </c>
    </row>
    <row r="2515" ht="14.25" customHeight="1" spans="2:4">
      <c r="B2515" s="137">
        <v>42528</v>
      </c>
      <c r="C2515" s="132">
        <v>8266.45</v>
      </c>
      <c r="D2515" s="135">
        <f t="shared" si="39"/>
        <v>0.000798408022790742</v>
      </c>
    </row>
    <row r="2516" ht="14.25" customHeight="1" spans="2:4">
      <c r="B2516" s="137">
        <v>42527</v>
      </c>
      <c r="C2516" s="132">
        <v>8201.05</v>
      </c>
      <c r="D2516" s="135">
        <f t="shared" si="39"/>
        <v>0.00797458861974998</v>
      </c>
    </row>
    <row r="2517" ht="14.25" customHeight="1" spans="2:4">
      <c r="B2517" s="137">
        <v>42524</v>
      </c>
      <c r="C2517" s="132">
        <v>8220.8</v>
      </c>
      <c r="D2517" s="135">
        <f t="shared" si="39"/>
        <v>-0.00240244258466327</v>
      </c>
    </row>
    <row r="2518" ht="14.25" customHeight="1" spans="2:4">
      <c r="B2518" s="137">
        <v>42523</v>
      </c>
      <c r="C2518" s="132">
        <v>8218.95</v>
      </c>
      <c r="D2518" s="135">
        <f t="shared" si="39"/>
        <v>0.000225089579569016</v>
      </c>
    </row>
    <row r="2519" ht="14.25" customHeight="1" spans="2:4">
      <c r="B2519" s="137">
        <v>42522</v>
      </c>
      <c r="C2519" s="132">
        <v>8179.95</v>
      </c>
      <c r="D2519" s="135">
        <f t="shared" si="39"/>
        <v>0.00476775530412787</v>
      </c>
    </row>
    <row r="2520" ht="14.25" customHeight="1" spans="2:4">
      <c r="B2520" s="137">
        <v>42521</v>
      </c>
      <c r="C2520" s="132">
        <v>8160.1</v>
      </c>
      <c r="D2520" s="135">
        <f t="shared" si="39"/>
        <v>0.00243256822833038</v>
      </c>
    </row>
    <row r="2521" ht="14.25" customHeight="1" spans="2:4">
      <c r="B2521" s="137">
        <v>42520</v>
      </c>
      <c r="C2521" s="132">
        <v>8178.5</v>
      </c>
      <c r="D2521" s="135">
        <f t="shared" si="39"/>
        <v>-0.00224980130830832</v>
      </c>
    </row>
    <row r="2522" ht="14.25" customHeight="1" spans="2:4">
      <c r="B2522" s="137">
        <v>42517</v>
      </c>
      <c r="C2522" s="132">
        <v>8156.65</v>
      </c>
      <c r="D2522" s="135">
        <f t="shared" si="39"/>
        <v>0.00267879582917008</v>
      </c>
    </row>
    <row r="2523" ht="14.25" customHeight="1" spans="2:4">
      <c r="B2523" s="137">
        <v>42516</v>
      </c>
      <c r="C2523" s="132">
        <v>8069.65</v>
      </c>
      <c r="D2523" s="135">
        <f t="shared" si="39"/>
        <v>0.0107811367283588</v>
      </c>
    </row>
    <row r="2524" ht="14.25" customHeight="1" spans="2:4">
      <c r="B2524" s="137">
        <v>42515</v>
      </c>
      <c r="C2524" s="132">
        <v>7934.9</v>
      </c>
      <c r="D2524" s="135">
        <f t="shared" si="39"/>
        <v>0.0169819405411535</v>
      </c>
    </row>
    <row r="2525" ht="14.25" customHeight="1" spans="2:4">
      <c r="B2525" s="137">
        <v>42514</v>
      </c>
      <c r="C2525" s="132">
        <v>7748.85</v>
      </c>
      <c r="D2525" s="135">
        <f t="shared" si="39"/>
        <v>0.0240100143892319</v>
      </c>
    </row>
    <row r="2526" ht="14.25" customHeight="1" spans="2:4">
      <c r="B2526" s="137">
        <v>42513</v>
      </c>
      <c r="C2526" s="132">
        <v>7731.05</v>
      </c>
      <c r="D2526" s="135">
        <f t="shared" si="39"/>
        <v>0.00230240394254344</v>
      </c>
    </row>
    <row r="2527" ht="14.25" customHeight="1" spans="2:4">
      <c r="B2527" s="137">
        <v>42510</v>
      </c>
      <c r="C2527" s="132">
        <v>7749.7</v>
      </c>
      <c r="D2527" s="135">
        <f t="shared" si="39"/>
        <v>-0.00240654476947488</v>
      </c>
    </row>
    <row r="2528" ht="14.25" customHeight="1" spans="2:4">
      <c r="B2528" s="137">
        <v>42509</v>
      </c>
      <c r="C2528" s="132">
        <v>7783.4</v>
      </c>
      <c r="D2528" s="135">
        <f t="shared" si="39"/>
        <v>-0.00432972736850212</v>
      </c>
    </row>
    <row r="2529" ht="14.25" customHeight="1" spans="2:4">
      <c r="B2529" s="137">
        <v>42508</v>
      </c>
      <c r="C2529" s="132">
        <v>7870.15</v>
      </c>
      <c r="D2529" s="135">
        <f t="shared" si="39"/>
        <v>-0.0110226615757006</v>
      </c>
    </row>
    <row r="2530" ht="14.25" customHeight="1" spans="2:4">
      <c r="B2530" s="137">
        <v>42507</v>
      </c>
      <c r="C2530" s="132">
        <v>7890.75</v>
      </c>
      <c r="D2530" s="135">
        <f t="shared" si="39"/>
        <v>-0.00261065171244812</v>
      </c>
    </row>
    <row r="2531" ht="14.25" customHeight="1" spans="2:4">
      <c r="B2531" s="137">
        <v>42506</v>
      </c>
      <c r="C2531" s="132">
        <v>7860.75</v>
      </c>
      <c r="D2531" s="135">
        <f t="shared" si="39"/>
        <v>0.00381642972998764</v>
      </c>
    </row>
    <row r="2532" ht="14.25" customHeight="1" spans="2:4">
      <c r="B2532" s="137">
        <v>42503</v>
      </c>
      <c r="C2532" s="132">
        <v>7814.9</v>
      </c>
      <c r="D2532" s="135">
        <f t="shared" si="39"/>
        <v>0.00586699765831944</v>
      </c>
    </row>
    <row r="2533" ht="14.25" customHeight="1" spans="2:4">
      <c r="B2533" s="137">
        <v>42502</v>
      </c>
      <c r="C2533" s="132">
        <v>7900.4</v>
      </c>
      <c r="D2533" s="135">
        <f t="shared" si="39"/>
        <v>-0.0108222368487672</v>
      </c>
    </row>
    <row r="2534" ht="14.25" customHeight="1" spans="2:4">
      <c r="B2534" s="137">
        <v>42501</v>
      </c>
      <c r="C2534" s="132">
        <v>7848.85</v>
      </c>
      <c r="D2534" s="135">
        <f t="shared" si="39"/>
        <v>0.00656784114870312</v>
      </c>
    </row>
    <row r="2535" ht="14.25" customHeight="1" spans="2:4">
      <c r="B2535" s="137">
        <v>42500</v>
      </c>
      <c r="C2535" s="132">
        <v>7887.8</v>
      </c>
      <c r="D2535" s="135">
        <f t="shared" si="39"/>
        <v>-0.00493800552752355</v>
      </c>
    </row>
    <row r="2536" ht="14.25" customHeight="1" spans="2:4">
      <c r="B2536" s="137">
        <v>42499</v>
      </c>
      <c r="C2536" s="132">
        <v>7866.05</v>
      </c>
      <c r="D2536" s="135">
        <f t="shared" si="39"/>
        <v>0.00276504726006066</v>
      </c>
    </row>
    <row r="2537" ht="14.25" customHeight="1" spans="2:4">
      <c r="B2537" s="137">
        <v>42496</v>
      </c>
      <c r="C2537" s="132">
        <v>7733.45</v>
      </c>
      <c r="D2537" s="135">
        <f t="shared" si="39"/>
        <v>0.0171462930516135</v>
      </c>
    </row>
    <row r="2538" ht="14.25" customHeight="1" spans="2:4">
      <c r="B2538" s="137">
        <v>42495</v>
      </c>
      <c r="C2538" s="132">
        <v>7735.5</v>
      </c>
      <c r="D2538" s="135">
        <f t="shared" si="39"/>
        <v>-0.000265011957856665</v>
      </c>
    </row>
    <row r="2539" ht="14.25" customHeight="1" spans="2:4">
      <c r="B2539" s="137">
        <v>42494</v>
      </c>
      <c r="C2539" s="132">
        <v>7706.55</v>
      </c>
      <c r="D2539" s="135">
        <f t="shared" si="39"/>
        <v>0.00375654475738174</v>
      </c>
    </row>
    <row r="2540" ht="14.25" customHeight="1" spans="2:4">
      <c r="B2540" s="137">
        <v>42493</v>
      </c>
      <c r="C2540" s="132">
        <v>7747</v>
      </c>
      <c r="D2540" s="135">
        <f t="shared" si="39"/>
        <v>-0.00522137601652251</v>
      </c>
    </row>
    <row r="2541" ht="14.25" customHeight="1" spans="2:4">
      <c r="B2541" s="137">
        <v>42492</v>
      </c>
      <c r="C2541" s="132">
        <v>7805.9</v>
      </c>
      <c r="D2541" s="135">
        <f t="shared" si="39"/>
        <v>-0.00754557450133864</v>
      </c>
    </row>
    <row r="2542" ht="14.25" customHeight="1" spans="2:4">
      <c r="B2542" s="137">
        <v>42489</v>
      </c>
      <c r="C2542" s="132">
        <v>7849.8</v>
      </c>
      <c r="D2542" s="135">
        <f t="shared" si="39"/>
        <v>-0.00559249917195348</v>
      </c>
    </row>
    <row r="2543" ht="14.25" customHeight="1" spans="2:4">
      <c r="B2543" s="137">
        <v>42488</v>
      </c>
      <c r="C2543" s="132">
        <v>7847.25</v>
      </c>
      <c r="D2543" s="135">
        <f t="shared" si="39"/>
        <v>0.000324954601930605</v>
      </c>
    </row>
    <row r="2544" ht="14.25" customHeight="1" spans="2:4">
      <c r="B2544" s="137">
        <v>42487</v>
      </c>
      <c r="C2544" s="132">
        <v>7979.9</v>
      </c>
      <c r="D2544" s="135">
        <f t="shared" si="39"/>
        <v>-0.0166230153260065</v>
      </c>
    </row>
    <row r="2545" ht="14.25" customHeight="1" spans="2:4">
      <c r="B2545" s="137">
        <v>42486</v>
      </c>
      <c r="C2545" s="132">
        <v>7962.65</v>
      </c>
      <c r="D2545" s="135">
        <f t="shared" si="39"/>
        <v>0.00216636421291905</v>
      </c>
    </row>
    <row r="2546" ht="14.25" customHeight="1" spans="2:4">
      <c r="B2546" s="137">
        <v>42485</v>
      </c>
      <c r="C2546" s="132">
        <v>7855.05</v>
      </c>
      <c r="D2546" s="135">
        <f t="shared" si="39"/>
        <v>0.0136981941553522</v>
      </c>
    </row>
    <row r="2547" ht="14.25" customHeight="1" spans="2:4">
      <c r="B2547" s="137">
        <v>42482</v>
      </c>
      <c r="C2547" s="132">
        <v>7899.3</v>
      </c>
      <c r="D2547" s="135">
        <f t="shared" si="39"/>
        <v>-0.00560176218145914</v>
      </c>
    </row>
    <row r="2548" ht="14.25" customHeight="1" spans="2:4">
      <c r="B2548" s="137">
        <v>42481</v>
      </c>
      <c r="C2548" s="132">
        <v>7912.05</v>
      </c>
      <c r="D2548" s="135">
        <f t="shared" si="39"/>
        <v>-0.00161146605494156</v>
      </c>
    </row>
    <row r="2549" ht="14.25" customHeight="1" spans="2:4">
      <c r="B2549" s="137">
        <v>42480</v>
      </c>
      <c r="C2549" s="132">
        <v>7914.75</v>
      </c>
      <c r="D2549" s="135">
        <f t="shared" si="39"/>
        <v>-0.000341135222211686</v>
      </c>
    </row>
    <row r="2550" ht="14.25" customHeight="1" spans="2:4">
      <c r="B2550" s="137">
        <v>42478</v>
      </c>
      <c r="C2550" s="132">
        <v>7914.7</v>
      </c>
      <c r="D2550" s="135">
        <f t="shared" si="39"/>
        <v>6.31735883871443e-6</v>
      </c>
    </row>
    <row r="2551" ht="14.25" customHeight="1" spans="2:4">
      <c r="B2551" s="137">
        <v>42473</v>
      </c>
      <c r="C2551" s="132">
        <v>7850.45</v>
      </c>
      <c r="D2551" s="135">
        <f t="shared" si="39"/>
        <v>0.00818424421529973</v>
      </c>
    </row>
    <row r="2552" ht="14.25" customHeight="1" spans="2:4">
      <c r="B2552" s="137">
        <v>42472</v>
      </c>
      <c r="C2552" s="132">
        <v>7708.95</v>
      </c>
      <c r="D2552" s="135">
        <f t="shared" si="39"/>
        <v>0.0183552883336902</v>
      </c>
    </row>
    <row r="2553" ht="14.25" customHeight="1" spans="2:4">
      <c r="B2553" s="137">
        <v>42471</v>
      </c>
      <c r="C2553" s="132">
        <v>7671.4</v>
      </c>
      <c r="D2553" s="135">
        <f t="shared" si="39"/>
        <v>0.00489480407748255</v>
      </c>
    </row>
    <row r="2554" ht="14.25" customHeight="1" spans="2:4">
      <c r="B2554" s="137">
        <v>42468</v>
      </c>
      <c r="C2554" s="132">
        <v>7555.2</v>
      </c>
      <c r="D2554" s="135">
        <f t="shared" si="39"/>
        <v>0.0153801355357899</v>
      </c>
    </row>
    <row r="2555" ht="14.25" customHeight="1" spans="2:4">
      <c r="B2555" s="137">
        <v>42467</v>
      </c>
      <c r="C2555" s="132">
        <v>7546.45</v>
      </c>
      <c r="D2555" s="135">
        <f t="shared" si="39"/>
        <v>0.00115948558593781</v>
      </c>
    </row>
    <row r="2556" ht="14.25" customHeight="1" spans="2:4">
      <c r="B2556" s="137">
        <v>42466</v>
      </c>
      <c r="C2556" s="132">
        <v>7614.35</v>
      </c>
      <c r="D2556" s="135">
        <f t="shared" si="39"/>
        <v>-0.008917373117863</v>
      </c>
    </row>
    <row r="2557" ht="14.25" customHeight="1" spans="2:4">
      <c r="B2557" s="137">
        <v>42465</v>
      </c>
      <c r="C2557" s="132">
        <v>7603.2</v>
      </c>
      <c r="D2557" s="135">
        <f t="shared" si="39"/>
        <v>0.00146648779461289</v>
      </c>
    </row>
    <row r="2558" ht="14.25" customHeight="1" spans="2:4">
      <c r="B2558" s="137">
        <v>42464</v>
      </c>
      <c r="C2558" s="132">
        <v>7758.8</v>
      </c>
      <c r="D2558" s="135">
        <f t="shared" si="39"/>
        <v>-0.0200546476259216</v>
      </c>
    </row>
    <row r="2559" ht="14.25" customHeight="1" spans="2:4">
      <c r="B2559" s="137">
        <v>42461</v>
      </c>
      <c r="C2559" s="132">
        <v>7713.05</v>
      </c>
      <c r="D2559" s="135">
        <f t="shared" si="39"/>
        <v>0.00593150569489365</v>
      </c>
    </row>
    <row r="2560" ht="14.25" customHeight="1" spans="2:4">
      <c r="B2560" s="137">
        <v>42460</v>
      </c>
      <c r="C2560" s="132">
        <v>7738.4</v>
      </c>
      <c r="D2560" s="135">
        <f t="shared" si="39"/>
        <v>-0.00327587098108129</v>
      </c>
    </row>
    <row r="2561" ht="14.25" customHeight="1" spans="2:4">
      <c r="B2561" s="137">
        <v>42459</v>
      </c>
      <c r="C2561" s="132">
        <v>7735.2</v>
      </c>
      <c r="D2561" s="135">
        <f t="shared" si="39"/>
        <v>0.000413693246457791</v>
      </c>
    </row>
    <row r="2562" ht="14.25" customHeight="1" spans="2:4">
      <c r="B2562" s="137">
        <v>42458</v>
      </c>
      <c r="C2562" s="132">
        <v>7597</v>
      </c>
      <c r="D2562" s="135">
        <f t="shared" si="39"/>
        <v>0.0181913913386862</v>
      </c>
    </row>
    <row r="2563" ht="14.25" customHeight="1" spans="2:4">
      <c r="B2563" s="137">
        <v>42457</v>
      </c>
      <c r="C2563" s="132">
        <v>7615.1</v>
      </c>
      <c r="D2563" s="135">
        <f t="shared" si="39"/>
        <v>-0.00237685650877861</v>
      </c>
    </row>
    <row r="2564" ht="14.25" customHeight="1" spans="2:4">
      <c r="B2564" s="137">
        <v>42452</v>
      </c>
      <c r="C2564" s="132">
        <v>7716.5</v>
      </c>
      <c r="D2564" s="135">
        <f t="shared" si="39"/>
        <v>-0.013140672584721</v>
      </c>
    </row>
    <row r="2565" ht="14.25" customHeight="1" spans="2:4">
      <c r="B2565" s="137">
        <v>42451</v>
      </c>
      <c r="C2565" s="132">
        <v>7714.9</v>
      </c>
      <c r="D2565" s="135">
        <f t="shared" si="39"/>
        <v>0.000207390892947412</v>
      </c>
    </row>
    <row r="2566" ht="14.25" customHeight="1" spans="2:4">
      <c r="B2566" s="137">
        <v>42450</v>
      </c>
      <c r="C2566" s="132">
        <v>7704.25</v>
      </c>
      <c r="D2566" s="135">
        <f t="shared" si="39"/>
        <v>0.00138235389557706</v>
      </c>
    </row>
    <row r="2567" ht="14.25" customHeight="1" spans="2:4">
      <c r="B2567" s="137">
        <v>42447</v>
      </c>
      <c r="C2567" s="132">
        <v>7604.35</v>
      </c>
      <c r="D2567" s="135">
        <f t="shared" si="39"/>
        <v>0.0131372175136599</v>
      </c>
    </row>
    <row r="2568" ht="14.25" customHeight="1" spans="2:4">
      <c r="B2568" s="137">
        <v>42446</v>
      </c>
      <c r="C2568" s="132">
        <v>7512.55</v>
      </c>
      <c r="D2568" s="135">
        <f t="shared" si="39"/>
        <v>0.0122195526152904</v>
      </c>
    </row>
    <row r="2569" ht="14.25" customHeight="1" spans="2:4">
      <c r="B2569" s="137">
        <v>42445</v>
      </c>
      <c r="C2569" s="132">
        <v>7498.75</v>
      </c>
      <c r="D2569" s="135">
        <f t="shared" ref="D2569:D2620" si="40">C2568/C2569-1</f>
        <v>0.00184030671778634</v>
      </c>
    </row>
    <row r="2570" ht="14.25" customHeight="1" spans="2:4">
      <c r="B2570" s="137">
        <v>42444</v>
      </c>
      <c r="C2570" s="132">
        <v>7460.6</v>
      </c>
      <c r="D2570" s="135">
        <f t="shared" si="40"/>
        <v>0.00511352974291612</v>
      </c>
    </row>
    <row r="2571" ht="14.25" customHeight="1" spans="2:4">
      <c r="B2571" s="137">
        <v>42443</v>
      </c>
      <c r="C2571" s="132">
        <v>7538.75</v>
      </c>
      <c r="D2571" s="135">
        <f t="shared" si="40"/>
        <v>-0.0103664400596916</v>
      </c>
    </row>
    <row r="2572" ht="14.25" customHeight="1" spans="2:4">
      <c r="B2572" s="137">
        <v>42440</v>
      </c>
      <c r="C2572" s="132">
        <v>7510.2</v>
      </c>
      <c r="D2572" s="135">
        <f t="shared" si="40"/>
        <v>0.00380149663124829</v>
      </c>
    </row>
    <row r="2573" ht="14.25" customHeight="1" spans="2:4">
      <c r="B2573" s="137">
        <v>42439</v>
      </c>
      <c r="C2573" s="132">
        <v>7486.15</v>
      </c>
      <c r="D2573" s="135">
        <f t="shared" si="40"/>
        <v>0.00321259926664585</v>
      </c>
    </row>
    <row r="2574" ht="14.25" customHeight="1" spans="2:4">
      <c r="B2574" s="137">
        <v>42438</v>
      </c>
      <c r="C2574" s="132">
        <v>7531.8</v>
      </c>
      <c r="D2574" s="135">
        <f t="shared" si="40"/>
        <v>-0.00606096816166135</v>
      </c>
    </row>
    <row r="2575" ht="14.25" customHeight="1" spans="2:4">
      <c r="B2575" s="137">
        <v>42437</v>
      </c>
      <c r="C2575" s="132">
        <v>7485.3</v>
      </c>
      <c r="D2575" s="135">
        <f t="shared" si="40"/>
        <v>0.00621217586469469</v>
      </c>
    </row>
    <row r="2576" ht="14.25" customHeight="1" spans="2:4">
      <c r="B2576" s="137">
        <v>42433</v>
      </c>
      <c r="C2576" s="132">
        <v>7485.35</v>
      </c>
      <c r="D2576" s="135">
        <f t="shared" si="40"/>
        <v>-6.6797143754016e-6</v>
      </c>
    </row>
    <row r="2577" ht="14.25" customHeight="1" spans="2:4">
      <c r="B2577" s="137">
        <v>42432</v>
      </c>
      <c r="C2577" s="132">
        <v>7475.6</v>
      </c>
      <c r="D2577" s="135">
        <f t="shared" si="40"/>
        <v>0.00130424313767463</v>
      </c>
    </row>
    <row r="2578" ht="14.25" customHeight="1" spans="2:4">
      <c r="B2578" s="137">
        <v>42431</v>
      </c>
      <c r="C2578" s="132">
        <v>7368.85</v>
      </c>
      <c r="D2578" s="135">
        <f t="shared" si="40"/>
        <v>0.0144866566696296</v>
      </c>
    </row>
    <row r="2579" ht="14.25" customHeight="1" spans="2:4">
      <c r="B2579" s="137">
        <v>42430</v>
      </c>
      <c r="C2579" s="132">
        <v>7222.3</v>
      </c>
      <c r="D2579" s="135">
        <f t="shared" si="40"/>
        <v>0.0202913199396315</v>
      </c>
    </row>
    <row r="2580" ht="14.25" customHeight="1" spans="2:4">
      <c r="B2580" s="137">
        <v>42429</v>
      </c>
      <c r="C2580" s="132">
        <v>6987.05</v>
      </c>
      <c r="D2580" s="135">
        <f t="shared" si="40"/>
        <v>0.0336694313050572</v>
      </c>
    </row>
    <row r="2581" ht="14.25" customHeight="1" spans="2:4">
      <c r="B2581" s="137">
        <v>42426</v>
      </c>
      <c r="C2581" s="132">
        <v>7029.75</v>
      </c>
      <c r="D2581" s="135">
        <f t="shared" si="40"/>
        <v>-0.00607418471496135</v>
      </c>
    </row>
    <row r="2582" ht="14.25" customHeight="1" spans="2:4">
      <c r="B2582" s="137">
        <v>42425</v>
      </c>
      <c r="C2582" s="132">
        <v>6970.6</v>
      </c>
      <c r="D2582" s="135">
        <f t="shared" si="40"/>
        <v>0.00848563968668392</v>
      </c>
    </row>
    <row r="2583" ht="14.25" customHeight="1" spans="2:4">
      <c r="B2583" s="137">
        <v>42424</v>
      </c>
      <c r="C2583" s="132">
        <v>7018.7</v>
      </c>
      <c r="D2583" s="135">
        <f t="shared" si="40"/>
        <v>-0.00685312094832369</v>
      </c>
    </row>
    <row r="2584" ht="14.25" customHeight="1" spans="2:4">
      <c r="B2584" s="137">
        <v>42423</v>
      </c>
      <c r="C2584" s="132">
        <v>7109.55</v>
      </c>
      <c r="D2584" s="135">
        <f t="shared" si="40"/>
        <v>-0.0127785865490784</v>
      </c>
    </row>
    <row r="2585" ht="14.25" customHeight="1" spans="2:4">
      <c r="B2585" s="137">
        <v>42422</v>
      </c>
      <c r="C2585" s="132">
        <v>7234.55</v>
      </c>
      <c r="D2585" s="135">
        <f t="shared" si="40"/>
        <v>-0.0172781997498117</v>
      </c>
    </row>
    <row r="2586" ht="14.25" customHeight="1" spans="2:4">
      <c r="B2586" s="137">
        <v>42419</v>
      </c>
      <c r="C2586" s="132">
        <v>7210.75</v>
      </c>
      <c r="D2586" s="135">
        <f t="shared" si="40"/>
        <v>0.00330062753527716</v>
      </c>
    </row>
    <row r="2587" ht="14.25" customHeight="1" spans="2:4">
      <c r="B2587" s="137">
        <v>42418</v>
      </c>
      <c r="C2587" s="132">
        <v>7191.75</v>
      </c>
      <c r="D2587" s="135">
        <f t="shared" si="40"/>
        <v>0.00264191608440223</v>
      </c>
    </row>
    <row r="2588" ht="14.25" customHeight="1" spans="2:4">
      <c r="B2588" s="137">
        <v>42417</v>
      </c>
      <c r="C2588" s="132">
        <v>7108.45</v>
      </c>
      <c r="D2588" s="135">
        <f t="shared" si="40"/>
        <v>0.0117184477628738</v>
      </c>
    </row>
    <row r="2589" ht="14.25" customHeight="1" spans="2:4">
      <c r="B2589" s="137">
        <v>42416</v>
      </c>
      <c r="C2589" s="132">
        <v>7048.25</v>
      </c>
      <c r="D2589" s="135">
        <f t="shared" si="40"/>
        <v>0.00854112723016343</v>
      </c>
    </row>
    <row r="2590" ht="14.25" customHeight="1" spans="2:4">
      <c r="B2590" s="137">
        <v>42415</v>
      </c>
      <c r="C2590" s="132">
        <v>7162.95</v>
      </c>
      <c r="D2590" s="135">
        <f t="shared" si="40"/>
        <v>-0.0160129555560209</v>
      </c>
    </row>
    <row r="2591" ht="14.25" customHeight="1" spans="2:4">
      <c r="B2591" s="137">
        <v>42412</v>
      </c>
      <c r="C2591" s="132">
        <v>6980.95</v>
      </c>
      <c r="D2591" s="135">
        <f t="shared" si="40"/>
        <v>0.026070950228837</v>
      </c>
    </row>
    <row r="2592" ht="14.25" customHeight="1" spans="2:4">
      <c r="B2592" s="137">
        <v>42411</v>
      </c>
      <c r="C2592" s="132">
        <v>6976.35</v>
      </c>
      <c r="D2592" s="135">
        <f t="shared" si="40"/>
        <v>0.000659370587771546</v>
      </c>
    </row>
    <row r="2593" ht="14.25" customHeight="1" spans="2:4">
      <c r="B2593" s="137">
        <v>42410</v>
      </c>
      <c r="C2593" s="132">
        <v>7215.7</v>
      </c>
      <c r="D2593" s="135">
        <f t="shared" si="40"/>
        <v>-0.0331707249469905</v>
      </c>
    </row>
    <row r="2594" ht="14.25" customHeight="1" spans="2:4">
      <c r="B2594" s="137">
        <v>42409</v>
      </c>
      <c r="C2594" s="132">
        <v>7298.2</v>
      </c>
      <c r="D2594" s="135">
        <f t="shared" si="40"/>
        <v>-0.011304157189444</v>
      </c>
    </row>
    <row r="2595" ht="14.25" customHeight="1" spans="2:4">
      <c r="B2595" s="137">
        <v>42408</v>
      </c>
      <c r="C2595" s="132">
        <v>7387.25</v>
      </c>
      <c r="D2595" s="135">
        <f t="shared" si="40"/>
        <v>-0.0120545534535856</v>
      </c>
    </row>
    <row r="2596" ht="14.25" customHeight="1" spans="2:4">
      <c r="B2596" s="137">
        <v>42405</v>
      </c>
      <c r="C2596" s="132">
        <v>7489.1</v>
      </c>
      <c r="D2596" s="135">
        <f t="shared" si="40"/>
        <v>-0.0135997649917882</v>
      </c>
    </row>
    <row r="2597" ht="14.25" customHeight="1" spans="2:4">
      <c r="B2597" s="137">
        <v>42404</v>
      </c>
      <c r="C2597" s="132">
        <v>7404</v>
      </c>
      <c r="D2597" s="135">
        <f t="shared" si="40"/>
        <v>0.0114937871420855</v>
      </c>
    </row>
    <row r="2598" ht="14.25" customHeight="1" spans="2:4">
      <c r="B2598" s="137">
        <v>42403</v>
      </c>
      <c r="C2598" s="132">
        <v>7361.8</v>
      </c>
      <c r="D2598" s="135">
        <f t="shared" si="40"/>
        <v>0.00573229373251105</v>
      </c>
    </row>
    <row r="2599" ht="14.25" customHeight="1" spans="2:4">
      <c r="B2599" s="137">
        <v>42402</v>
      </c>
      <c r="C2599" s="132">
        <v>7455.55</v>
      </c>
      <c r="D2599" s="135">
        <f t="shared" si="40"/>
        <v>-0.0125745250182749</v>
      </c>
    </row>
    <row r="2600" ht="14.25" customHeight="1" spans="2:4">
      <c r="B2600" s="137">
        <v>42401</v>
      </c>
      <c r="C2600" s="132">
        <v>7555.95</v>
      </c>
      <c r="D2600" s="135">
        <f t="shared" si="40"/>
        <v>-0.0132875416062838</v>
      </c>
    </row>
    <row r="2601" ht="14.25" customHeight="1" spans="2:4">
      <c r="B2601" s="137">
        <v>42398</v>
      </c>
      <c r="C2601" s="132">
        <v>7563.55</v>
      </c>
      <c r="D2601" s="135">
        <f t="shared" si="40"/>
        <v>-0.00100481916560347</v>
      </c>
    </row>
    <row r="2602" ht="14.25" customHeight="1" spans="2:4">
      <c r="B2602" s="137">
        <v>42397</v>
      </c>
      <c r="C2602" s="132">
        <v>7424.65</v>
      </c>
      <c r="D2602" s="135">
        <f t="shared" si="40"/>
        <v>0.0187079525634206</v>
      </c>
    </row>
    <row r="2603" ht="14.25" customHeight="1" spans="2:4">
      <c r="B2603" s="137">
        <v>42396</v>
      </c>
      <c r="C2603" s="132">
        <v>7437.75</v>
      </c>
      <c r="D2603" s="135">
        <f t="shared" si="40"/>
        <v>-0.00176128533494679</v>
      </c>
    </row>
    <row r="2604" ht="14.25" customHeight="1" spans="2:4">
      <c r="B2604" s="137">
        <v>42394</v>
      </c>
      <c r="C2604" s="132">
        <v>7436.15</v>
      </c>
      <c r="D2604" s="135">
        <f t="shared" si="40"/>
        <v>0.000215165105599047</v>
      </c>
    </row>
    <row r="2605" ht="14.25" customHeight="1" spans="2:4">
      <c r="B2605" s="137">
        <v>42391</v>
      </c>
      <c r="C2605" s="132">
        <v>7422.45</v>
      </c>
      <c r="D2605" s="135">
        <f t="shared" si="40"/>
        <v>0.00184575173965462</v>
      </c>
    </row>
    <row r="2606" ht="14.25" customHeight="1" spans="2:4">
      <c r="B2606" s="137">
        <v>42390</v>
      </c>
      <c r="C2606" s="132">
        <v>7276.8</v>
      </c>
      <c r="D2606" s="135">
        <f t="shared" si="40"/>
        <v>0.0200156662269129</v>
      </c>
    </row>
    <row r="2607" ht="14.25" customHeight="1" spans="2:4">
      <c r="B2607" s="137">
        <v>42389</v>
      </c>
      <c r="C2607" s="132">
        <v>7309.3</v>
      </c>
      <c r="D2607" s="135">
        <f t="shared" si="40"/>
        <v>-0.00444639021520532</v>
      </c>
    </row>
    <row r="2608" ht="14.25" customHeight="1" spans="2:4">
      <c r="B2608" s="137">
        <v>42388</v>
      </c>
      <c r="C2608" s="132">
        <v>7435.1</v>
      </c>
      <c r="D2608" s="135">
        <f t="shared" si="40"/>
        <v>-0.0169197455313311</v>
      </c>
    </row>
    <row r="2609" ht="14.25" customHeight="1" spans="2:4">
      <c r="B2609" s="137">
        <v>42387</v>
      </c>
      <c r="C2609" s="132">
        <v>7351</v>
      </c>
      <c r="D2609" s="135">
        <f t="shared" si="40"/>
        <v>0.0114406203237656</v>
      </c>
    </row>
    <row r="2610" ht="14.25" customHeight="1" spans="2:4">
      <c r="B2610" s="137">
        <v>42384</v>
      </c>
      <c r="C2610" s="132">
        <v>7437.8</v>
      </c>
      <c r="D2610" s="135">
        <f t="shared" si="40"/>
        <v>-0.0116701175078653</v>
      </c>
    </row>
    <row r="2611" ht="14.25" customHeight="1" spans="2:4">
      <c r="B2611" s="137">
        <v>42383</v>
      </c>
      <c r="C2611" s="132">
        <v>7536.8</v>
      </c>
      <c r="D2611" s="135">
        <f t="shared" si="40"/>
        <v>-0.0131355482432862</v>
      </c>
    </row>
    <row r="2612" ht="14.25" customHeight="1" spans="2:4">
      <c r="B2612" s="137">
        <v>42382</v>
      </c>
      <c r="C2612" s="132">
        <v>7562.4</v>
      </c>
      <c r="D2612" s="135">
        <f t="shared" si="40"/>
        <v>-0.00338516872950378</v>
      </c>
    </row>
    <row r="2613" ht="14.25" customHeight="1" spans="2:4">
      <c r="B2613" s="137">
        <v>42381</v>
      </c>
      <c r="C2613" s="132">
        <v>7510.3</v>
      </c>
      <c r="D2613" s="135">
        <f t="shared" si="40"/>
        <v>0.00693713966153142</v>
      </c>
    </row>
    <row r="2614" ht="14.25" customHeight="1" spans="2:4">
      <c r="B2614" s="137">
        <v>42380</v>
      </c>
      <c r="C2614" s="132">
        <v>7563.85</v>
      </c>
      <c r="D2614" s="135">
        <f t="shared" si="40"/>
        <v>-0.00707972791633893</v>
      </c>
    </row>
    <row r="2615" ht="14.25" customHeight="1" spans="2:4">
      <c r="B2615" s="137">
        <v>42377</v>
      </c>
      <c r="C2615" s="132">
        <v>7601.35</v>
      </c>
      <c r="D2615" s="135">
        <f t="shared" si="40"/>
        <v>-0.00493333421037057</v>
      </c>
    </row>
    <row r="2616" ht="14.25" customHeight="1" spans="2:4">
      <c r="B2616" s="137">
        <v>42376</v>
      </c>
      <c r="C2616" s="132">
        <v>7568.3</v>
      </c>
      <c r="D2616" s="135">
        <f t="shared" si="40"/>
        <v>0.00436689877515439</v>
      </c>
    </row>
    <row r="2617" ht="14.25" customHeight="1" spans="2:4">
      <c r="B2617" s="137">
        <v>42375</v>
      </c>
      <c r="C2617" s="132">
        <v>7741</v>
      </c>
      <c r="D2617" s="135">
        <f t="shared" si="40"/>
        <v>-0.0223097790983077</v>
      </c>
    </row>
    <row r="2618" ht="14.25" customHeight="1" spans="2:4">
      <c r="B2618" s="137">
        <v>42374</v>
      </c>
      <c r="C2618" s="132">
        <v>7784.65</v>
      </c>
      <c r="D2618" s="135">
        <f t="shared" si="40"/>
        <v>-0.00560718850558461</v>
      </c>
    </row>
    <row r="2619" ht="14.25" customHeight="1" spans="2:4">
      <c r="B2619" s="137">
        <v>42373</v>
      </c>
      <c r="C2619" s="132">
        <v>7791.3</v>
      </c>
      <c r="D2619" s="135">
        <f t="shared" si="40"/>
        <v>-0.000853516101292584</v>
      </c>
    </row>
    <row r="2620" ht="14.25" customHeight="1" spans="2:4">
      <c r="B2620" s="137">
        <v>42370</v>
      </c>
      <c r="C2620" s="132">
        <v>7963.2</v>
      </c>
      <c r="D2620" s="135">
        <f t="shared" si="40"/>
        <v>-0.0215867992766726</v>
      </c>
    </row>
    <row r="2622" ht="14.25" customHeight="1" spans="2:4">
      <c r="B2622" s="125"/>
      <c r="C2622" s="125"/>
    </row>
    <row r="2624" ht="14.25" customHeight="1" spans="2:4">
      <c r="B2624" s="125"/>
      <c r="C2624" s="125"/>
    </row>
    <row r="2626" ht="14.25" customHeight="1" spans="2:3">
      <c r="B2626" s="125"/>
      <c r="C2626" s="139"/>
    </row>
  </sheetData>
  <autoFilter xmlns:etc="http://www.wps.cn/officeDocument/2017/etCustomData" ref="B7:D2620" etc:filterBottomFollowUsedRange="0">
    <extLst/>
  </autoFilter>
  <mergeCells count="1">
    <mergeCell ref="A1:J4"/>
  </mergeCells>
  <conditionalFormatting sqref="D9:D16">
    <cfRule type="cellIs" dxfId="0" priority="2" operator="greaterThan">
      <formula>0</formula>
    </cfRule>
    <cfRule type="cellIs" dxfId="1" priority="3" operator="lessThan">
      <formula>0</formula>
    </cfRule>
  </conditionalFormatting>
  <conditionalFormatting sqref="D17:D20">
    <cfRule type="cellIs" dxfId="0" priority="4" operator="greaterThan">
      <formula>0</formula>
    </cfRule>
    <cfRule type="cellIs" dxfId="1" priority="5" operator="lessThan">
      <formula>0</formula>
    </cfRule>
  </conditionalFormatting>
  <conditionalFormatting sqref="D21:D2620">
    <cfRule type="cellIs" dxfId="0" priority="6" operator="greaterThan">
      <formula>0</formula>
    </cfRule>
    <cfRule type="cellIs" dxfId="1" priority="7" operator="lessThan">
      <formula>0</formula>
    </cfRule>
  </conditionalFormatting>
  <pageMargins left="0.75" right="0.75" top="1" bottom="1" header="0.511811023622047" footer="0.511811023622047"/>
  <pageSetup paperSize="9"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AE22"/>
  <sheetViews>
    <sheetView showGridLines="0" workbookViewId="0">
      <selection activeCell="B6" sqref="B6"/>
    </sheetView>
  </sheetViews>
  <sheetFormatPr defaultColWidth="8.89814814814815" defaultRowHeight="14.4"/>
  <cols>
    <col min="1" max="1" width="2.76851851851852" style="1" customWidth="1"/>
    <col min="2" max="2" width="11.8888888888889" style="1" customWidth="1"/>
    <col min="3" max="3" width="9.66666666666667" style="1" customWidth="1"/>
    <col min="4" max="5" width="11.7685185185185" style="1" customWidth="1"/>
    <col min="6" max="6" width="25.5555555555556" style="1" customWidth="1"/>
    <col min="7" max="7" width="12.1111111111111" style="1" customWidth="1"/>
    <col min="8" max="8" width="13.75" style="1" customWidth="1"/>
    <col min="9" max="9" width="16.1111111111111" style="1" customWidth="1"/>
    <col min="10" max="10" width="12.1111111111111" style="1" customWidth="1"/>
    <col min="11" max="11" width="15.4444444444444" style="1" customWidth="1"/>
    <col min="12" max="12" width="13.75" style="1" customWidth="1"/>
    <col min="13" max="13" width="16" style="1" customWidth="1"/>
    <col min="14" max="14" width="10.6574074074074" style="1" customWidth="1"/>
    <col min="15" max="15" width="9.11111111111111" style="1" customWidth="1"/>
    <col min="16" max="16" width="11.7685185185185" style="1" customWidth="1"/>
    <col min="17" max="17" width="8.88888888888889" style="1"/>
    <col min="18" max="18" width="39.7777777777778" style="1" customWidth="1"/>
    <col min="19" max="19" width="13.1111111111111" style="1" customWidth="1"/>
    <col min="20" max="20" width="23.1111111111111" style="1" customWidth="1"/>
    <col min="21" max="21" width="18" style="1" customWidth="1"/>
    <col min="22" max="31" width="13.1111111111111" style="1" customWidth="1"/>
  </cols>
  <sheetData>
    <row r="1" ht="14.25" customHeight="1" spans="1:31">
      <c r="A1" s="67" t="s">
        <v>252</v>
      </c>
      <c r="B1" s="67"/>
      <c r="C1" s="67"/>
      <c r="D1" s="67"/>
      <c r="E1" s="67"/>
      <c r="F1" s="67"/>
      <c r="G1" s="67"/>
      <c r="H1" s="67"/>
      <c r="I1" s="67"/>
      <c r="J1" s="67"/>
    </row>
    <row r="2" ht="14.25" customHeight="1" spans="1:31">
      <c r="A2" s="67"/>
      <c r="B2" s="67"/>
      <c r="C2" s="67"/>
      <c r="D2" s="67"/>
      <c r="E2" s="67"/>
      <c r="F2" s="67"/>
      <c r="G2" s="67"/>
      <c r="H2" s="67"/>
      <c r="I2" s="67"/>
      <c r="J2" s="67"/>
    </row>
    <row r="3" ht="14.25" customHeight="1" spans="1:31">
      <c r="A3" s="67"/>
      <c r="B3" s="67"/>
      <c r="C3" s="67"/>
      <c r="D3" s="67"/>
      <c r="E3" s="67"/>
      <c r="F3" s="67"/>
      <c r="G3" s="67"/>
      <c r="H3" s="67"/>
      <c r="I3" s="67"/>
      <c r="J3" s="67"/>
    </row>
    <row r="4" ht="14.25" customHeight="1" spans="1:31">
      <c r="A4" s="67"/>
      <c r="B4" s="67"/>
      <c r="C4" s="67"/>
      <c r="D4" s="67"/>
      <c r="E4" s="67"/>
      <c r="F4" s="67"/>
      <c r="G4" s="67"/>
      <c r="H4" s="67"/>
      <c r="I4" s="67"/>
      <c r="J4" s="67"/>
    </row>
    <row r="5" ht="27" customHeight="1" spans="1:31">
      <c r="B5" s="68"/>
      <c r="C5" s="68"/>
      <c r="Q5" s="68"/>
    </row>
    <row r="6" ht="27" customHeight="1" spans="1:31">
      <c r="B6" s="69" t="s">
        <v>442</v>
      </c>
      <c r="C6" s="70"/>
      <c r="D6" s="70"/>
      <c r="E6" s="70"/>
      <c r="F6" s="71" t="s">
        <v>443</v>
      </c>
      <c r="G6" s="72" t="s">
        <v>444</v>
      </c>
      <c r="H6" s="72" t="s">
        <v>445</v>
      </c>
      <c r="I6" s="72" t="s">
        <v>446</v>
      </c>
      <c r="J6" s="72" t="s">
        <v>447</v>
      </c>
      <c r="K6" s="72" t="s">
        <v>448</v>
      </c>
      <c r="L6" s="73" t="s">
        <v>97</v>
      </c>
      <c r="M6" s="72" t="s">
        <v>449</v>
      </c>
      <c r="N6" s="72" t="s">
        <v>450</v>
      </c>
      <c r="O6" s="74"/>
      <c r="P6" s="74"/>
      <c r="Q6" s="75"/>
      <c r="R6" s="76"/>
      <c r="S6" s="76"/>
      <c r="T6" s="77"/>
      <c r="U6" s="77"/>
      <c r="V6" s="77"/>
      <c r="W6" s="77"/>
      <c r="X6" s="77"/>
      <c r="Y6" s="77"/>
      <c r="Z6" s="77"/>
      <c r="AA6" s="77"/>
      <c r="AB6" s="77"/>
      <c r="AC6" s="77"/>
      <c r="AD6" s="77"/>
      <c r="AE6" s="77"/>
    </row>
    <row r="7" ht="27" customHeight="1" spans="1:31">
      <c r="B7" s="78" t="s">
        <v>430</v>
      </c>
      <c r="C7" s="79"/>
      <c r="D7" s="79"/>
      <c r="E7" s="79"/>
      <c r="F7" s="80" t="s">
        <v>451</v>
      </c>
      <c r="G7" s="81">
        <f>Assumptions!C14</f>
        <v>1949</v>
      </c>
      <c r="H7" s="81">
        <v>609.33</v>
      </c>
      <c r="I7" s="81">
        <v>195411.7</v>
      </c>
      <c r="J7" s="81">
        <v>30376.8</v>
      </c>
      <c r="K7" s="82">
        <v>1171372.02</v>
      </c>
      <c r="L7" s="83">
        <v>11674.5</v>
      </c>
      <c r="M7" s="83">
        <v>33822.8</v>
      </c>
      <c r="N7" s="84">
        <v>0.251255736318617</v>
      </c>
      <c r="O7" s="74"/>
      <c r="P7" s="76"/>
      <c r="Q7" s="77"/>
      <c r="R7" s="77"/>
      <c r="S7" s="77"/>
      <c r="T7" s="74"/>
      <c r="U7" s="77"/>
      <c r="V7" s="77"/>
      <c r="W7" s="77"/>
      <c r="X7" s="77"/>
      <c r="Y7" s="77"/>
      <c r="Z7" s="77"/>
      <c r="AA7" s="77"/>
      <c r="AB7" s="77"/>
      <c r="AC7" s="77"/>
      <c r="AD7" s="77"/>
      <c r="AE7" s="77"/>
    </row>
    <row r="8" ht="18" customHeight="1" spans="1:31">
      <c r="B8" s="85"/>
      <c r="C8" s="85"/>
      <c r="D8" s="85"/>
      <c r="E8" s="86"/>
      <c r="F8" s="86"/>
      <c r="G8" s="87"/>
      <c r="H8" s="87"/>
      <c r="I8" s="87"/>
      <c r="J8" s="87"/>
      <c r="K8" s="88"/>
      <c r="L8" s="89"/>
      <c r="M8" s="89"/>
      <c r="N8" s="90"/>
      <c r="O8" s="74"/>
      <c r="P8" s="76"/>
      <c r="Q8" s="76"/>
      <c r="R8" s="77"/>
      <c r="S8" s="77"/>
      <c r="T8" s="77"/>
      <c r="U8" s="91"/>
      <c r="V8" s="74"/>
      <c r="W8" s="74"/>
      <c r="Z8" s="77"/>
      <c r="AA8" s="77"/>
      <c r="AB8" s="77"/>
      <c r="AC8" s="77"/>
      <c r="AD8" s="77"/>
      <c r="AE8" s="77"/>
    </row>
    <row r="9" s="66" customFormat="1" ht="24" customHeight="1" spans="1:31">
      <c r="B9" s="92" t="s">
        <v>452</v>
      </c>
      <c r="C9" s="92"/>
      <c r="D9" s="79"/>
      <c r="E9" s="79"/>
      <c r="F9" s="78" t="s">
        <v>453</v>
      </c>
      <c r="G9" s="93">
        <v>1818.8</v>
      </c>
      <c r="H9" s="93">
        <v>28.5</v>
      </c>
      <c r="I9" s="93">
        <v>12248.9</v>
      </c>
      <c r="J9" s="93">
        <v>695.34</v>
      </c>
      <c r="K9" s="93">
        <v>54220.15</v>
      </c>
      <c r="L9" s="93">
        <v>4822.46</v>
      </c>
      <c r="M9" s="94">
        <v>996.85</v>
      </c>
      <c r="N9" s="95">
        <v>0.309249838790571</v>
      </c>
      <c r="O9" s="96"/>
      <c r="P9" s="97"/>
      <c r="Q9" s="98"/>
      <c r="R9" s="99"/>
      <c r="S9" s="99"/>
      <c r="T9" s="99"/>
      <c r="U9" s="100"/>
      <c r="V9" s="100"/>
      <c r="W9" s="100"/>
      <c r="Z9" s="99"/>
      <c r="AA9" s="99"/>
      <c r="AB9" s="99"/>
      <c r="AC9" s="99"/>
      <c r="AD9" s="99"/>
      <c r="AE9" s="99"/>
    </row>
    <row r="10" s="66" customFormat="1" ht="24" customHeight="1" spans="1:31">
      <c r="B10" s="92" t="s">
        <v>454</v>
      </c>
      <c r="C10" s="92"/>
      <c r="D10" s="79"/>
      <c r="E10" s="79"/>
      <c r="F10" s="79" t="s">
        <v>455</v>
      </c>
      <c r="G10" s="93">
        <v>1651</v>
      </c>
      <c r="H10" s="93">
        <v>50</v>
      </c>
      <c r="I10" s="93">
        <v>6137.3</v>
      </c>
      <c r="J10" s="93">
        <v>5731</v>
      </c>
      <c r="K10" s="93">
        <v>72860</v>
      </c>
      <c r="L10" s="94">
        <v>4890.4</v>
      </c>
      <c r="M10" s="94">
        <v>1733.2</v>
      </c>
      <c r="N10" s="95">
        <v>0.235161731609373</v>
      </c>
      <c r="O10" s="96"/>
      <c r="P10" s="97"/>
      <c r="Q10" s="98"/>
      <c r="R10" s="99"/>
      <c r="S10" s="99"/>
      <c r="T10" s="99"/>
      <c r="U10" s="100"/>
      <c r="V10" s="100"/>
      <c r="W10" s="100"/>
      <c r="Z10" s="99"/>
      <c r="AA10" s="99"/>
      <c r="AB10" s="99"/>
      <c r="AC10" s="99"/>
      <c r="AD10" s="99"/>
      <c r="AE10" s="99"/>
    </row>
    <row r="11" s="66" customFormat="1" ht="24" customHeight="1" spans="1:31">
      <c r="B11" s="101" t="s">
        <v>456</v>
      </c>
      <c r="C11" s="92"/>
      <c r="D11" s="79"/>
      <c r="E11" s="79"/>
      <c r="F11" s="79" t="s">
        <v>457</v>
      </c>
      <c r="G11" s="93">
        <v>40.4</v>
      </c>
      <c r="H11" s="93">
        <v>195.49</v>
      </c>
      <c r="I11" s="93">
        <v>20868.92</v>
      </c>
      <c r="J11" s="93">
        <v>15.63</v>
      </c>
      <c r="K11" s="94">
        <v>8263.5</v>
      </c>
      <c r="L11" s="94">
        <v>617.41</v>
      </c>
      <c r="M11" s="94">
        <v>-215.3</v>
      </c>
      <c r="N11" s="95">
        <v>0</v>
      </c>
      <c r="O11" s="96"/>
      <c r="P11" s="97"/>
      <c r="Q11" s="98"/>
      <c r="R11" s="99"/>
      <c r="S11" s="99"/>
      <c r="T11" s="99"/>
      <c r="U11" s="100"/>
      <c r="V11" s="100"/>
      <c r="W11" s="100"/>
      <c r="Z11" s="99"/>
      <c r="AA11" s="99"/>
      <c r="AB11" s="99"/>
      <c r="AC11" s="99"/>
      <c r="AD11" s="99"/>
      <c r="AE11" s="99"/>
    </row>
    <row r="12" s="66" customFormat="1" ht="24" customHeight="1" spans="1:31">
      <c r="B12" s="92" t="s">
        <v>458</v>
      </c>
      <c r="C12" s="92"/>
      <c r="D12" s="79"/>
      <c r="E12" s="79"/>
      <c r="F12" s="79" t="s">
        <v>458</v>
      </c>
      <c r="G12" s="93">
        <v>28.04</v>
      </c>
      <c r="H12" s="93">
        <v>63</v>
      </c>
      <c r="I12" s="93">
        <v>35444.57</v>
      </c>
      <c r="J12" s="94">
        <v>775.89</v>
      </c>
      <c r="K12" s="94">
        <v>1915.2</v>
      </c>
      <c r="L12" s="93">
        <v>-141.7</v>
      </c>
      <c r="M12" s="94">
        <v>-3107.25</v>
      </c>
      <c r="N12" s="95">
        <v>-4.18393882437756e-5</v>
      </c>
      <c r="O12" s="96"/>
      <c r="P12" s="97"/>
      <c r="Q12" s="98"/>
      <c r="R12" s="99"/>
      <c r="S12" s="99"/>
      <c r="T12" s="99"/>
      <c r="U12" s="100"/>
      <c r="V12" s="100"/>
      <c r="W12" s="100"/>
      <c r="Z12" s="99"/>
      <c r="AA12" s="99"/>
      <c r="AB12" s="99"/>
      <c r="AC12" s="99"/>
      <c r="AD12" s="99"/>
      <c r="AE12" s="99"/>
    </row>
    <row r="13" s="66" customFormat="1" ht="24" customHeight="1" spans="1:31">
      <c r="B13" s="92" t="s">
        <v>459</v>
      </c>
      <c r="C13" s="92"/>
      <c r="D13" s="79"/>
      <c r="E13" s="79"/>
      <c r="F13" s="79" t="s">
        <v>460</v>
      </c>
      <c r="G13" s="93">
        <v>13.49</v>
      </c>
      <c r="H13" s="93">
        <v>10834.3</v>
      </c>
      <c r="I13" s="93">
        <v>192528</v>
      </c>
      <c r="J13" s="94">
        <v>5731</v>
      </c>
      <c r="K13" s="94">
        <v>154930.59</v>
      </c>
      <c r="L13" s="93">
        <v>19003</v>
      </c>
      <c r="M13" s="93">
        <v>34552</v>
      </c>
      <c r="N13" s="95">
        <v>0.0001157809424569</v>
      </c>
      <c r="O13" s="96"/>
      <c r="P13" s="97"/>
      <c r="Q13" s="98"/>
      <c r="R13" s="99"/>
      <c r="S13" s="99"/>
      <c r="T13" s="99"/>
      <c r="U13" s="100"/>
      <c r="V13" s="100"/>
      <c r="W13" s="100"/>
      <c r="Z13" s="99"/>
      <c r="AA13" s="99"/>
      <c r="AB13" s="99"/>
      <c r="AC13" s="99"/>
      <c r="AD13" s="99"/>
      <c r="AE13" s="99"/>
    </row>
    <row r="14" s="66" customFormat="1" ht="24" customHeight="1" spans="1:31">
      <c r="B14" s="92" t="s">
        <v>461</v>
      </c>
      <c r="C14" s="92"/>
      <c r="D14" s="102"/>
      <c r="E14" s="103"/>
      <c r="F14" s="104" t="s">
        <v>462</v>
      </c>
      <c r="G14" s="93">
        <v>0.85</v>
      </c>
      <c r="H14" s="93">
        <v>276.55</v>
      </c>
      <c r="I14" s="93">
        <v>47212</v>
      </c>
      <c r="J14" s="105">
        <v>440</v>
      </c>
      <c r="K14" s="106">
        <v>251.67</v>
      </c>
      <c r="L14" s="107">
        <v>-191</v>
      </c>
      <c r="M14" s="106">
        <v>-11125</v>
      </c>
      <c r="N14" s="95">
        <v>0.0004496402877698</v>
      </c>
      <c r="O14" s="96"/>
      <c r="P14" s="97"/>
      <c r="Q14" s="98"/>
      <c r="R14" s="99"/>
      <c r="S14" s="99"/>
      <c r="T14" s="99"/>
      <c r="U14" s="100"/>
      <c r="V14" s="100"/>
      <c r="W14" s="100"/>
    </row>
    <row r="15" s="66" customFormat="1" ht="24" customHeight="1" spans="1:31">
      <c r="B15" s="108"/>
      <c r="C15" s="108"/>
      <c r="D15" s="109"/>
      <c r="E15" s="110"/>
      <c r="F15" s="110"/>
      <c r="G15" s="110"/>
      <c r="H15" s="111"/>
      <c r="I15" s="109"/>
      <c r="J15" s="109"/>
      <c r="K15" s="110"/>
      <c r="L15" s="110"/>
      <c r="M15" s="112"/>
      <c r="N15" s="112"/>
      <c r="O15" s="113"/>
      <c r="P15" s="114"/>
      <c r="Q15" s="100"/>
      <c r="R15" s="100"/>
      <c r="S15" s="100"/>
      <c r="T15" s="100"/>
      <c r="U15" s="100"/>
      <c r="V15" s="100"/>
      <c r="W15" s="100"/>
    </row>
    <row r="16" ht="18" customHeight="1" spans="1:31">
      <c r="B16" s="115" t="s">
        <v>463</v>
      </c>
      <c r="C16" s="116"/>
      <c r="D16" s="53"/>
      <c r="E16" s="117"/>
      <c r="F16" s="117"/>
      <c r="G16" s="117"/>
      <c r="H16" s="118"/>
      <c r="I16" s="117"/>
      <c r="J16" s="119"/>
      <c r="K16" s="117"/>
      <c r="L16" s="120"/>
      <c r="M16" s="68"/>
      <c r="N16" s="68"/>
      <c r="O16" s="121"/>
      <c r="P16" s="121"/>
      <c r="Q16" s="74"/>
      <c r="R16" s="74"/>
      <c r="S16" s="74"/>
      <c r="T16" s="74"/>
      <c r="U16" s="74"/>
      <c r="V16" s="74"/>
      <c r="W16" s="74"/>
    </row>
    <row r="17" ht="14.25" customHeight="1" spans="15:23">
      <c r="O17" s="74">
        <v>5</v>
      </c>
      <c r="P17" s="74"/>
      <c r="Q17" s="74"/>
      <c r="R17" s="74"/>
      <c r="S17" s="74"/>
      <c r="T17" s="74"/>
      <c r="V17" s="74"/>
      <c r="W17" s="74"/>
    </row>
    <row r="18" ht="14.25" customHeight="1" spans="15:23">
      <c r="O18" s="74"/>
      <c r="P18" s="74"/>
      <c r="Q18" s="74"/>
      <c r="R18" s="76"/>
      <c r="S18" s="122"/>
      <c r="T18" s="77"/>
      <c r="U18" s="77"/>
      <c r="V18" s="77"/>
      <c r="W18" s="77"/>
    </row>
    <row r="19" ht="14.25" customHeight="1" spans="15:23">
      <c r="R19" s="123"/>
      <c r="S19" s="124"/>
    </row>
    <row r="20" ht="14.25" customHeight="1" spans="15:23">
      <c r="R20" s="123"/>
      <c r="S20" s="124"/>
    </row>
    <row r="21" ht="14.25" customHeight="1" spans="15:23">
      <c r="R21" s="123"/>
      <c r="S21" s="124"/>
    </row>
    <row r="22" ht="14.25" customHeight="1" spans="15:23">
      <c r="R22" s="123"/>
      <c r="S22" s="124"/>
    </row>
  </sheetData>
  <mergeCells count="1">
    <mergeCell ref="A1:J4"/>
  </mergeCells>
  <pageMargins left="0.75" right="0.75" top="1" bottom="1" header="0.511811023622047" footer="0.511811023622047"/>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33"/>
  <sheetViews>
    <sheetView showGridLines="0" topLeftCell="A7" workbookViewId="0">
      <selection activeCell="B7" sqref="B7:Q7"/>
    </sheetView>
  </sheetViews>
  <sheetFormatPr defaultColWidth="8.89814814814815" defaultRowHeight="14.4"/>
  <cols>
    <col min="1" max="1" width="2.44444444444444" style="1" customWidth="1"/>
    <col min="2" max="2" width="22" style="1" customWidth="1"/>
    <col min="3" max="3" width="11.5555555555556" style="1" customWidth="1"/>
    <col min="4" max="4" width="9.44444444444444" style="1" customWidth="1"/>
    <col min="5" max="5" width="9.11111111111111" style="1" customWidth="1"/>
    <col min="6" max="6" width="13.2222222222222" style="1" customWidth="1"/>
    <col min="7" max="7" width="12.1111111111111" style="1" customWidth="1"/>
    <col min="8" max="8" width="15" style="1" customWidth="1"/>
    <col min="9" max="9" width="13.2222222222222" style="1" customWidth="1"/>
    <col min="10" max="10" width="11.8888888888889" style="1" customWidth="1"/>
    <col min="11" max="11" width="10.5555555555556" style="1" customWidth="1"/>
    <col min="14" max="14" width="6.33333333333333" style="1" customWidth="1"/>
    <col min="15" max="15" width="10.6574074074074" style="1" customWidth="1"/>
    <col min="16" max="16" width="12.7592592592593"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9" t="s">
        <v>464</v>
      </c>
      <c r="C7" s="39"/>
      <c r="D7" s="39"/>
      <c r="E7" s="39"/>
      <c r="F7" s="39"/>
      <c r="G7" s="39"/>
      <c r="H7" s="39"/>
      <c r="I7" s="39"/>
      <c r="J7" s="39"/>
      <c r="K7" s="39"/>
      <c r="L7" s="39"/>
      <c r="M7" s="39"/>
      <c r="N7" s="39"/>
      <c r="O7" s="39"/>
      <c r="P7" s="39"/>
      <c r="Q7" s="39"/>
    </row>
    <row r="8" ht="15" customHeight="1" spans="1:17">
      <c r="B8" s="40"/>
      <c r="C8" s="40"/>
      <c r="D8" s="41" t="s">
        <v>5</v>
      </c>
      <c r="E8" s="41"/>
      <c r="F8" s="41"/>
      <c r="G8" s="41"/>
      <c r="H8" s="41"/>
      <c r="I8" s="41"/>
      <c r="J8" s="42"/>
      <c r="K8" s="43" t="s">
        <v>465</v>
      </c>
      <c r="L8" s="43"/>
      <c r="M8" s="43"/>
      <c r="N8" s="42"/>
      <c r="O8" s="43" t="s">
        <v>466</v>
      </c>
      <c r="P8" s="43"/>
      <c r="Q8" s="43"/>
    </row>
    <row r="9" ht="14.25" customHeight="1" spans="1:17">
      <c r="B9" s="44" t="s">
        <v>467</v>
      </c>
      <c r="C9" s="45" t="s">
        <v>443</v>
      </c>
      <c r="D9" s="46" t="s">
        <v>468</v>
      </c>
      <c r="E9" s="47" t="s">
        <v>445</v>
      </c>
      <c r="F9" s="47" t="s">
        <v>469</v>
      </c>
      <c r="G9" s="47" t="s">
        <v>446</v>
      </c>
      <c r="H9" s="47" t="s">
        <v>447</v>
      </c>
      <c r="I9" s="47" t="s">
        <v>470</v>
      </c>
      <c r="J9" s="24"/>
      <c r="K9" s="47" t="s">
        <v>448</v>
      </c>
      <c r="L9" s="47" t="s">
        <v>97</v>
      </c>
      <c r="M9" s="47" t="s">
        <v>471</v>
      </c>
      <c r="N9" s="24"/>
      <c r="O9" s="47" t="s">
        <v>472</v>
      </c>
      <c r="P9" s="47" t="s">
        <v>473</v>
      </c>
      <c r="Q9" s="47" t="s">
        <v>474</v>
      </c>
    </row>
    <row r="10" ht="14.25" customHeight="1" spans="1:17">
      <c r="B10" s="44"/>
      <c r="C10" s="44"/>
      <c r="D10" s="44"/>
      <c r="E10" s="48" t="s">
        <v>475</v>
      </c>
      <c r="F10" s="48" t="s">
        <v>476</v>
      </c>
      <c r="G10" s="48" t="s">
        <v>476</v>
      </c>
      <c r="H10" s="47" t="s">
        <v>477</v>
      </c>
      <c r="I10" s="48" t="s">
        <v>476</v>
      </c>
      <c r="J10" s="49"/>
      <c r="K10" s="48" t="s">
        <v>476</v>
      </c>
      <c r="L10" s="48" t="s">
        <v>476</v>
      </c>
      <c r="M10" s="48" t="s">
        <v>476</v>
      </c>
      <c r="N10" s="49"/>
      <c r="O10" s="48" t="s">
        <v>478</v>
      </c>
      <c r="P10" s="48" t="s">
        <v>478</v>
      </c>
      <c r="Q10" s="48" t="s">
        <v>478</v>
      </c>
    </row>
    <row r="11" ht="15" customHeight="1" spans="1:17">
      <c r="B11" s="8" t="str">
        <f>'Comps Data'!B9</f>
        <v>Tata Communication</v>
      </c>
      <c r="C11" s="8" t="str">
        <f>'Comps Data'!F9</f>
        <v>TATACOMM</v>
      </c>
      <c r="D11" s="50">
        <f>'Comps Data'!G9</f>
        <v>1818.8</v>
      </c>
      <c r="E11" s="51">
        <f>'Comps Data'!H9</f>
        <v>28.5</v>
      </c>
      <c r="F11" s="52">
        <f t="shared" ref="F11:F16" si="0">PRODUCT(D11:E11)</f>
        <v>51835.8</v>
      </c>
      <c r="G11" s="53">
        <f>'Comps Data'!I9</f>
        <v>12248.9</v>
      </c>
      <c r="H11" s="53">
        <f>'Comps Data'!J9</f>
        <v>695.34</v>
      </c>
      <c r="I11" s="52">
        <f t="shared" ref="I11:I16" si="1">SUM(F11:G11)-H11</f>
        <v>63389.36</v>
      </c>
      <c r="J11" s="8"/>
      <c r="K11" s="53">
        <f>'Comps Data'!K9</f>
        <v>54220.15</v>
      </c>
      <c r="L11" s="53">
        <f>'Comps Data'!L9</f>
        <v>4822.46</v>
      </c>
      <c r="M11" s="53">
        <f>'Comps Data'!M9</f>
        <v>996.85</v>
      </c>
      <c r="N11" s="8"/>
      <c r="O11" s="54">
        <f t="shared" ref="O11:O16" si="2">I11/K11</f>
        <v>1.16911074572829</v>
      </c>
      <c r="P11" s="54">
        <f t="shared" ref="P11:P16" si="3">I11/L11</f>
        <v>13.1446108417696</v>
      </c>
      <c r="Q11" s="54">
        <f t="shared" ref="Q11:Q16" si="4">F11/M11</f>
        <v>51.9995987360185</v>
      </c>
    </row>
    <row r="12" ht="15" customHeight="1" spans="1:17">
      <c r="B12" s="8" t="str">
        <f>'Comps Data'!B10</f>
        <v>Bharti Hexacom</v>
      </c>
      <c r="C12" s="8" t="str">
        <f>'Comps Data'!F10</f>
        <v>BHARTIHEX</v>
      </c>
      <c r="D12" s="50">
        <f>'Comps Data'!G10</f>
        <v>1651</v>
      </c>
      <c r="E12" s="51">
        <f>'Comps Data'!H10</f>
        <v>50</v>
      </c>
      <c r="F12" s="52">
        <f t="shared" si="0"/>
        <v>82550</v>
      </c>
      <c r="G12" s="53">
        <f>'Comps Data'!I10</f>
        <v>6137.3</v>
      </c>
      <c r="H12" s="53">
        <f>'Comps Data'!J10</f>
        <v>5731</v>
      </c>
      <c r="I12" s="52">
        <f t="shared" si="1"/>
        <v>82956.3</v>
      </c>
      <c r="J12" s="10"/>
      <c r="K12" s="53">
        <f>'Comps Data'!K10</f>
        <v>72860</v>
      </c>
      <c r="L12" s="53">
        <f>'Comps Data'!L10</f>
        <v>4890.4</v>
      </c>
      <c r="M12" s="53">
        <f>'Comps Data'!M10</f>
        <v>1733.2</v>
      </c>
      <c r="N12" s="10"/>
      <c r="O12" s="54">
        <f t="shared" si="2"/>
        <v>1.13857123250069</v>
      </c>
      <c r="P12" s="54">
        <f t="shared" si="3"/>
        <v>16.9630909537052</v>
      </c>
      <c r="Q12" s="54">
        <f t="shared" si="4"/>
        <v>47.6286637433649</v>
      </c>
    </row>
    <row r="13" ht="15" customHeight="1" spans="1:17">
      <c r="B13" s="8" t="str">
        <f>'Comps Data'!B11</f>
        <v>Tata Teleservices (Maharashtra)</v>
      </c>
      <c r="C13" s="8" t="str">
        <f>'Comps Data'!F11</f>
        <v>TTML</v>
      </c>
      <c r="D13" s="50">
        <f>'Comps Data'!G11</f>
        <v>40.4</v>
      </c>
      <c r="E13" s="51">
        <f>'Comps Data'!H11</f>
        <v>195.49</v>
      </c>
      <c r="F13" s="52">
        <f t="shared" si="0"/>
        <v>7897.796</v>
      </c>
      <c r="G13" s="53">
        <f>'Comps Data'!I11</f>
        <v>20868.92</v>
      </c>
      <c r="H13" s="53">
        <f>'Comps Data'!J11</f>
        <v>15.63</v>
      </c>
      <c r="I13" s="52">
        <f t="shared" si="1"/>
        <v>28751.086</v>
      </c>
      <c r="J13" s="10"/>
      <c r="K13" s="53">
        <f>'Comps Data'!K11</f>
        <v>8263.5</v>
      </c>
      <c r="L13" s="53">
        <f>'Comps Data'!L11</f>
        <v>617.41</v>
      </c>
      <c r="M13" s="53">
        <f>'Comps Data'!M11</f>
        <v>-215.3</v>
      </c>
      <c r="N13" s="10"/>
      <c r="O13" s="54">
        <f t="shared" si="2"/>
        <v>3.47928674290555</v>
      </c>
      <c r="P13" s="54">
        <f t="shared" si="3"/>
        <v>46.5672502874913</v>
      </c>
      <c r="Q13" s="54">
        <f t="shared" si="4"/>
        <v>-36.6827496516489</v>
      </c>
    </row>
    <row r="14" ht="15" customHeight="1" spans="1:17">
      <c r="B14" s="8" t="str">
        <f>'Comps Data'!B12</f>
        <v>MTNL</v>
      </c>
      <c r="C14" s="8" t="str">
        <f>'Comps Data'!F12</f>
        <v>MTNL</v>
      </c>
      <c r="D14" s="50">
        <f>'Comps Data'!G12</f>
        <v>28.04</v>
      </c>
      <c r="E14" s="51">
        <f>'Comps Data'!H12</f>
        <v>63</v>
      </c>
      <c r="F14" s="52">
        <f t="shared" si="0"/>
        <v>1766.52</v>
      </c>
      <c r="G14" s="53">
        <f>'Comps Data'!I12</f>
        <v>35444.57</v>
      </c>
      <c r="H14" s="53">
        <f>'Comps Data'!J12</f>
        <v>775.89</v>
      </c>
      <c r="I14" s="52">
        <f t="shared" si="1"/>
        <v>36435.2</v>
      </c>
      <c r="J14" s="10"/>
      <c r="K14" s="53">
        <f>'Comps Data'!K12</f>
        <v>1915.2</v>
      </c>
      <c r="L14" s="53">
        <f>'Comps Data'!L12</f>
        <v>-141.7</v>
      </c>
      <c r="M14" s="53">
        <f>'Comps Data'!M12</f>
        <v>-3107.25</v>
      </c>
      <c r="N14" s="10"/>
      <c r="O14" s="54">
        <f t="shared" si="2"/>
        <v>19.0242272347535</v>
      </c>
      <c r="P14" s="54">
        <f t="shared" si="3"/>
        <v>-257.129146083275</v>
      </c>
      <c r="Q14" s="54">
        <f t="shared" si="4"/>
        <v>-0.568515568428675</v>
      </c>
    </row>
    <row r="15" ht="15" customHeight="1" spans="1:17">
      <c r="B15" s="8" t="str">
        <f>'Comps Data'!B13</f>
        <v>Vodafone Idea</v>
      </c>
      <c r="C15" s="8" t="str">
        <f>'Comps Data'!F13</f>
        <v>IDEA</v>
      </c>
      <c r="D15" s="50">
        <f>'Comps Data'!G13</f>
        <v>13.49</v>
      </c>
      <c r="E15" s="51">
        <f>'Comps Data'!H13</f>
        <v>10834.3</v>
      </c>
      <c r="F15" s="52">
        <f t="shared" si="0"/>
        <v>146154.707</v>
      </c>
      <c r="G15" s="53">
        <f>'Comps Data'!I13</f>
        <v>192528</v>
      </c>
      <c r="H15" s="53">
        <f>'Comps Data'!J13</f>
        <v>5731</v>
      </c>
      <c r="I15" s="52">
        <f t="shared" si="1"/>
        <v>332951.707</v>
      </c>
      <c r="J15" s="8"/>
      <c r="K15" s="53">
        <f>'Comps Data'!K13</f>
        <v>154930.59</v>
      </c>
      <c r="L15" s="53">
        <f>'Comps Data'!L13</f>
        <v>19003</v>
      </c>
      <c r="M15" s="53">
        <f>'Comps Data'!M13</f>
        <v>34552</v>
      </c>
      <c r="N15" s="8"/>
      <c r="O15" s="54">
        <f t="shared" si="2"/>
        <v>2.14903788206061</v>
      </c>
      <c r="P15" s="54">
        <f t="shared" si="3"/>
        <v>17.5210075777509</v>
      </c>
      <c r="Q15" s="54">
        <f t="shared" si="4"/>
        <v>4.22999267770317</v>
      </c>
    </row>
    <row r="16" ht="15" customHeight="1" spans="1:17">
      <c r="B16" s="8" t="str">
        <f>'Comps Data'!B14</f>
        <v>Reliance Communication</v>
      </c>
      <c r="C16" s="8" t="str">
        <f>'Comps Data'!F14</f>
        <v>RCOM</v>
      </c>
      <c r="D16" s="50">
        <f>'Comps Data'!G14</f>
        <v>0.85</v>
      </c>
      <c r="E16" s="51">
        <f>'Comps Data'!H14</f>
        <v>276.55</v>
      </c>
      <c r="F16" s="52">
        <f t="shared" si="0"/>
        <v>235.0675</v>
      </c>
      <c r="G16" s="53">
        <f>'Comps Data'!I14</f>
        <v>47212</v>
      </c>
      <c r="H16" s="53">
        <f>'Comps Data'!J14</f>
        <v>440</v>
      </c>
      <c r="I16" s="52">
        <f t="shared" si="1"/>
        <v>47007.0675</v>
      </c>
      <c r="J16" s="55"/>
      <c r="K16" s="53">
        <f>'Comps Data'!K14</f>
        <v>251.67</v>
      </c>
      <c r="L16" s="53">
        <f>'Comps Data'!L14</f>
        <v>-191</v>
      </c>
      <c r="M16" s="53">
        <f>'Comps Data'!M14</f>
        <v>-11125</v>
      </c>
      <c r="N16" s="55"/>
      <c r="O16" s="54">
        <f t="shared" si="2"/>
        <v>186.780575753964</v>
      </c>
      <c r="P16" s="54">
        <f t="shared" si="3"/>
        <v>-246.11030104712</v>
      </c>
      <c r="Q16" s="54">
        <f t="shared" si="4"/>
        <v>-0.0211296629213483</v>
      </c>
    </row>
    <row r="17" ht="15" customHeight="1" spans="2:17">
      <c r="B17" s="8"/>
      <c r="C17" s="56"/>
      <c r="D17" s="50"/>
      <c r="E17" s="51"/>
      <c r="F17" s="52"/>
      <c r="G17" s="53"/>
      <c r="H17" s="53"/>
      <c r="I17" s="52"/>
      <c r="J17" s="20"/>
      <c r="K17" s="53"/>
      <c r="L17" s="53"/>
      <c r="M17" s="53"/>
      <c r="N17" s="20"/>
      <c r="O17" s="54"/>
      <c r="P17" s="54"/>
      <c r="Q17" s="54"/>
    </row>
    <row r="18" ht="15" customHeight="1" spans="2:17">
      <c r="B18" s="8"/>
      <c r="C18" s="8"/>
      <c r="D18" s="8"/>
      <c r="E18" s="8"/>
      <c r="F18" s="8"/>
      <c r="G18" s="8"/>
      <c r="H18" s="8"/>
      <c r="I18" s="8"/>
      <c r="J18" s="8"/>
      <c r="K18" s="8"/>
      <c r="L18" s="8"/>
      <c r="M18" s="8"/>
      <c r="N18" s="8"/>
      <c r="O18" s="54"/>
      <c r="P18" s="54"/>
      <c r="Q18" s="54"/>
    </row>
    <row r="19" ht="15" customHeight="1" spans="2:17">
      <c r="B19" s="8"/>
      <c r="C19" s="10"/>
      <c r="D19" s="10"/>
      <c r="E19" s="10"/>
      <c r="F19" s="10"/>
      <c r="G19" s="57"/>
      <c r="H19" s="57"/>
      <c r="I19" s="57"/>
      <c r="J19" s="57"/>
      <c r="K19" s="57"/>
      <c r="L19" s="57"/>
      <c r="M19" s="57"/>
      <c r="N19" s="57"/>
      <c r="O19" s="54"/>
      <c r="P19" s="54"/>
      <c r="Q19" s="54"/>
    </row>
    <row r="20" ht="15" customHeight="1" spans="2:17">
      <c r="B20" s="58" t="s">
        <v>479</v>
      </c>
      <c r="C20" s="40"/>
      <c r="D20" s="40"/>
      <c r="E20" s="40"/>
      <c r="F20" s="40"/>
      <c r="G20" s="40"/>
      <c r="H20" s="40"/>
      <c r="I20" s="40"/>
      <c r="J20" s="40"/>
      <c r="K20" s="40"/>
      <c r="L20" s="40"/>
      <c r="M20" s="40"/>
      <c r="N20" s="40"/>
      <c r="O20" s="59">
        <f>AVERAGE(O11:O19)</f>
        <v>35.6234682653187</v>
      </c>
      <c r="P20" s="59">
        <f>AVERAGE(P11:P19)</f>
        <v>-68.1739145782797</v>
      </c>
      <c r="Q20" s="59">
        <f>AVERAGE(Q11:Q19)</f>
        <v>11.0976433790146</v>
      </c>
    </row>
    <row r="21" ht="15" customHeight="1" spans="2:17">
      <c r="B21" s="58" t="s">
        <v>480</v>
      </c>
      <c r="C21" s="40"/>
      <c r="D21" s="40"/>
      <c r="E21" s="40"/>
      <c r="F21" s="40"/>
      <c r="G21" s="40"/>
      <c r="H21" s="40"/>
      <c r="I21" s="40"/>
      <c r="J21" s="40"/>
      <c r="K21" s="40"/>
      <c r="L21" s="40"/>
      <c r="M21" s="40"/>
      <c r="N21" s="40"/>
      <c r="O21" s="59">
        <f>MEDIAN(O11:O19)</f>
        <v>2.81416231248308</v>
      </c>
      <c r="P21" s="59">
        <f>MEDIAN(P11:P19)</f>
        <v>15.0538508977374</v>
      </c>
      <c r="Q21" s="59">
        <f>MEDIAN(Q11:Q19)</f>
        <v>2.10443150739091</v>
      </c>
    </row>
    <row r="22" ht="14.25" customHeight="1" spans="2:17">
      <c r="B22" s="8"/>
      <c r="C22" s="8"/>
      <c r="D22" s="8"/>
      <c r="E22" s="8"/>
      <c r="F22" s="8"/>
      <c r="G22" s="8"/>
      <c r="H22" s="8"/>
      <c r="I22" s="8"/>
      <c r="J22" s="8"/>
      <c r="K22" s="8"/>
      <c r="L22" s="8"/>
      <c r="M22" s="8"/>
      <c r="N22" s="8"/>
      <c r="O22" s="8"/>
      <c r="P22" s="8"/>
      <c r="Q22" s="8"/>
    </row>
    <row r="23" ht="15" customHeight="1" spans="2:17">
      <c r="B23" s="8" t="str">
        <f>'Comps Data'!B7</f>
        <v>Bharti Airtel</v>
      </c>
      <c r="C23" s="56" t="str">
        <f>'Comps Data'!F7</f>
        <v>BHARTIARTL</v>
      </c>
      <c r="D23" s="50">
        <f>'Comps Data'!G7</f>
        <v>1949</v>
      </c>
      <c r="E23" s="51">
        <f>'Comps Data'!H7</f>
        <v>609.33</v>
      </c>
      <c r="F23" s="52">
        <f>PRODUCT(D23:E23)</f>
        <v>1187584.17</v>
      </c>
      <c r="G23" s="53">
        <f>'Comps Data'!I7</f>
        <v>195411.7</v>
      </c>
      <c r="H23" s="53">
        <f>'Comps Data'!J7</f>
        <v>30376.8</v>
      </c>
      <c r="I23" s="52">
        <f>SUM(F23:G23)-H23</f>
        <v>1352619.07</v>
      </c>
      <c r="J23" s="20"/>
      <c r="K23" s="53">
        <f>'Comps Data'!K7</f>
        <v>1171372.02</v>
      </c>
      <c r="L23" s="53">
        <f>'Comps Data'!L7</f>
        <v>11674.5</v>
      </c>
      <c r="M23" s="53">
        <f>'Comps Data'!M7</f>
        <v>33822.8</v>
      </c>
      <c r="N23" s="55"/>
      <c r="O23" s="54">
        <f>I23/K23</f>
        <v>1.1547305611756</v>
      </c>
      <c r="P23" s="54">
        <f>I23/L23</f>
        <v>115.860985052893</v>
      </c>
      <c r="Q23" s="54">
        <f>F23/M23</f>
        <v>35.1119413531701</v>
      </c>
    </row>
    <row r="24" ht="14.25" customHeight="1" spans="2:17">
      <c r="B24" s="8"/>
      <c r="C24" s="8"/>
      <c r="D24" s="8"/>
      <c r="E24" s="8"/>
      <c r="F24" s="8"/>
      <c r="G24" s="8"/>
      <c r="H24" s="8"/>
      <c r="I24" s="8"/>
      <c r="J24" s="8"/>
      <c r="K24" s="8"/>
      <c r="L24" s="8"/>
      <c r="M24" s="8"/>
      <c r="N24" s="8"/>
      <c r="O24" s="8"/>
      <c r="P24" s="8"/>
      <c r="Q24" s="8"/>
    </row>
    <row r="25" ht="15" customHeight="1" spans="2:17">
      <c r="B25" s="58" t="s">
        <v>481</v>
      </c>
      <c r="C25" s="60" t="s">
        <v>352</v>
      </c>
      <c r="D25" s="58"/>
      <c r="E25" s="58"/>
      <c r="F25" s="40" t="s">
        <v>470</v>
      </c>
      <c r="G25" s="40" t="s">
        <v>482</v>
      </c>
      <c r="H25" s="60" t="s">
        <v>483</v>
      </c>
      <c r="I25" s="40" t="s">
        <v>445</v>
      </c>
      <c r="J25" s="60" t="s">
        <v>484</v>
      </c>
      <c r="K25" s="60"/>
      <c r="L25" s="10"/>
      <c r="M25" s="10"/>
      <c r="N25" s="10"/>
      <c r="O25" s="10"/>
      <c r="P25" s="10"/>
      <c r="Q25" s="10"/>
    </row>
    <row r="26" ht="15" customHeight="1" spans="2:17">
      <c r="B26" s="61"/>
      <c r="C26" s="62"/>
      <c r="D26" s="62"/>
      <c r="E26" s="62"/>
      <c r="F26" s="62"/>
      <c r="G26" s="62"/>
      <c r="H26" s="62"/>
      <c r="I26" s="62"/>
      <c r="J26" s="62"/>
      <c r="K26" s="10"/>
      <c r="L26" s="10"/>
      <c r="M26" s="10"/>
      <c r="N26" s="10"/>
      <c r="O26" s="10"/>
      <c r="P26" s="10"/>
      <c r="Q26" s="10"/>
    </row>
    <row r="27" ht="14.25" customHeight="1" spans="2:17">
      <c r="B27" s="8" t="s">
        <v>485</v>
      </c>
      <c r="C27" s="63">
        <f>O21</f>
        <v>2.81416231248308</v>
      </c>
      <c r="D27" s="8"/>
      <c r="E27" s="8"/>
      <c r="F27" s="64">
        <f>C27*K23</f>
        <v>3296430.99258117</v>
      </c>
      <c r="G27" s="50">
        <f>$G$23-$H$23</f>
        <v>165034.9</v>
      </c>
      <c r="H27" s="64">
        <f>F27-G27</f>
        <v>3131396.09258117</v>
      </c>
      <c r="I27" s="65">
        <f>$E$23</f>
        <v>609.33</v>
      </c>
      <c r="J27" s="64">
        <f>H27/I27</f>
        <v>5139.08078148322</v>
      </c>
      <c r="K27" s="64"/>
      <c r="L27" s="10"/>
      <c r="M27" s="10"/>
      <c r="N27" s="10"/>
      <c r="O27" s="10"/>
      <c r="P27" s="10"/>
      <c r="Q27" s="10"/>
    </row>
    <row r="28" ht="14.25" customHeight="1" spans="2:17">
      <c r="B28" s="8" t="s">
        <v>473</v>
      </c>
      <c r="C28" s="63">
        <f>P21</f>
        <v>15.0538508977374</v>
      </c>
      <c r="D28" s="8"/>
      <c r="E28" s="8"/>
      <c r="F28" s="64">
        <f>C28*L23</f>
        <v>175746.182305635</v>
      </c>
      <c r="G28" s="50">
        <f>$G$23-$H$23</f>
        <v>165034.9</v>
      </c>
      <c r="H28" s="64">
        <f>F28-G28</f>
        <v>10711.2823056351</v>
      </c>
      <c r="I28" s="65">
        <f>$E$23</f>
        <v>609.33</v>
      </c>
      <c r="J28" s="64">
        <f>H28/I28</f>
        <v>17.5787870376235</v>
      </c>
      <c r="K28" s="64"/>
      <c r="L28" s="10"/>
      <c r="M28" s="10"/>
      <c r="N28" s="10"/>
      <c r="O28" s="10"/>
      <c r="P28" s="10"/>
      <c r="Q28" s="10"/>
    </row>
    <row r="29" ht="14.25" customHeight="1" spans="2:17">
      <c r="B29" s="8" t="s">
        <v>474</v>
      </c>
      <c r="C29" s="63">
        <f>Q21</f>
        <v>2.10443150739091</v>
      </c>
      <c r="D29" s="8"/>
      <c r="E29" s="8"/>
      <c r="F29" s="64">
        <f>H29+G29</f>
        <v>236212.665988181</v>
      </c>
      <c r="G29" s="50">
        <f>$G$23-$H$23</f>
        <v>165034.9</v>
      </c>
      <c r="H29" s="64">
        <f>C29*M23</f>
        <v>71177.7659881813</v>
      </c>
      <c r="I29" s="65">
        <f>$E$23</f>
        <v>609.33</v>
      </c>
      <c r="J29" s="64">
        <f>H29/I29</f>
        <v>116.813165260501</v>
      </c>
      <c r="K29" s="64"/>
      <c r="L29" s="8"/>
      <c r="M29" s="8"/>
      <c r="N29" s="8"/>
      <c r="O29" s="8"/>
      <c r="P29" s="8"/>
      <c r="Q29" s="8"/>
    </row>
    <row r="30" ht="14.25" customHeight="1" spans="2:17">
      <c r="B30" s="8"/>
      <c r="C30" s="8"/>
      <c r="D30" s="8"/>
      <c r="E30" s="8"/>
      <c r="F30" s="8"/>
      <c r="G30" s="8"/>
      <c r="H30" s="8"/>
      <c r="I30" s="8"/>
      <c r="J30" s="8"/>
      <c r="K30" s="8"/>
      <c r="L30" s="8"/>
      <c r="M30" s="8"/>
      <c r="N30" s="8"/>
      <c r="O30" s="8"/>
      <c r="P30" s="8"/>
      <c r="Q30" s="8"/>
    </row>
    <row r="31" ht="14.25" customHeight="1" spans="2:17">
      <c r="B31" s="8"/>
      <c r="C31" s="8"/>
      <c r="D31" s="8"/>
      <c r="E31" s="8"/>
      <c r="F31" s="8"/>
      <c r="G31" s="8"/>
      <c r="H31" s="8"/>
      <c r="I31" s="8"/>
      <c r="J31" s="8"/>
      <c r="K31" s="8"/>
      <c r="L31" s="8"/>
      <c r="M31" s="8"/>
      <c r="N31" s="8"/>
      <c r="O31" s="8"/>
      <c r="P31" s="8"/>
      <c r="Q31" s="8"/>
    </row>
    <row r="32" ht="14.25" customHeight="1" spans="2:17">
      <c r="B32" s="8"/>
      <c r="C32" s="8"/>
      <c r="D32" s="8"/>
      <c r="E32" s="8"/>
      <c r="F32" s="8"/>
      <c r="G32" s="8"/>
      <c r="H32" s="8"/>
      <c r="I32" s="8"/>
      <c r="J32" s="8"/>
      <c r="K32" s="8"/>
      <c r="L32" s="8"/>
      <c r="M32" s="8"/>
      <c r="N32" s="8"/>
      <c r="O32" s="8"/>
      <c r="P32" s="8"/>
      <c r="Q32" s="8"/>
    </row>
    <row r="33" ht="14.25" customHeight="1" spans="2:17">
      <c r="B33" s="8"/>
      <c r="C33" s="8"/>
      <c r="D33" s="8"/>
      <c r="E33" s="8"/>
      <c r="F33" s="8"/>
      <c r="G33" s="8"/>
      <c r="H33" s="8"/>
      <c r="I33" s="8"/>
      <c r="J33" s="8"/>
      <c r="K33" s="8"/>
      <c r="L33" s="8"/>
      <c r="M33" s="8"/>
      <c r="N33" s="8"/>
      <c r="O33" s="8"/>
      <c r="P33" s="8"/>
      <c r="Q33" s="8"/>
    </row>
  </sheetData>
  <mergeCells count="8">
    <mergeCell ref="B7:Q7"/>
    <mergeCell ref="D8:I8"/>
    <mergeCell ref="K8:M8"/>
    <mergeCell ref="O8:Q8"/>
    <mergeCell ref="B9:B10"/>
    <mergeCell ref="C9:C10"/>
    <mergeCell ref="D9:D10"/>
    <mergeCell ref="A1:J4"/>
  </mergeCells>
  <pageMargins left="0.75" right="0.75" top="1" bottom="1" header="0.511811023622047" footer="0.511811023622047"/>
  <pageSetup paperSize="9" orientation="portrait" horizontalDpi="300" verticalDpi="3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81D31"/>
  </sheetPr>
  <dimension ref="A1:Q63"/>
  <sheetViews>
    <sheetView showGridLines="0" topLeftCell="A15" workbookViewId="0">
      <selection activeCell="D37" sqref="D37"/>
    </sheetView>
  </sheetViews>
  <sheetFormatPr defaultColWidth="8.89814814814815" defaultRowHeight="14.4"/>
  <cols>
    <col min="1" max="1" width="2.44444444444444" style="1" customWidth="1"/>
    <col min="2" max="2" width="44.3333333333333" style="1" customWidth="1"/>
    <col min="3" max="3" width="14.787037037037" style="1" customWidth="1"/>
    <col min="4" max="12" width="12.3333333333333" style="1" customWidth="1"/>
    <col min="13" max="17" width="15" style="1" customWidth="1"/>
  </cols>
  <sheetData>
    <row r="1" ht="14.25" customHeight="1" spans="1:17">
      <c r="A1" s="2" t="s">
        <v>252</v>
      </c>
      <c r="B1" s="2"/>
      <c r="C1" s="2"/>
      <c r="D1" s="2"/>
      <c r="E1" s="2"/>
      <c r="F1" s="2"/>
      <c r="G1" s="2"/>
      <c r="H1" s="2"/>
      <c r="I1" s="2"/>
      <c r="J1" s="2"/>
    </row>
    <row r="2" ht="14.25" customHeight="1" spans="1:17">
      <c r="A2" s="2"/>
      <c r="B2" s="2"/>
      <c r="C2" s="2"/>
      <c r="D2" s="2"/>
      <c r="E2" s="2"/>
      <c r="F2" s="2"/>
      <c r="G2" s="2"/>
      <c r="H2" s="2"/>
      <c r="I2" s="2"/>
      <c r="J2" s="2"/>
    </row>
    <row r="3" ht="14.25" customHeight="1" spans="1:17">
      <c r="A3" s="2"/>
      <c r="B3" s="2"/>
      <c r="C3" s="2"/>
      <c r="D3" s="2"/>
      <c r="E3" s="2"/>
      <c r="F3" s="2"/>
      <c r="G3" s="2"/>
      <c r="H3" s="2"/>
      <c r="I3" s="2"/>
      <c r="J3" s="2"/>
    </row>
    <row r="4" ht="14.25" customHeight="1" spans="1:17">
      <c r="A4" s="2"/>
      <c r="B4" s="2"/>
      <c r="C4" s="2"/>
      <c r="D4" s="2"/>
      <c r="E4" s="2"/>
      <c r="F4" s="2"/>
      <c r="G4" s="2"/>
      <c r="H4" s="2"/>
      <c r="I4" s="2"/>
      <c r="J4" s="2"/>
    </row>
    <row r="7" ht="15" customHeight="1" spans="1:17">
      <c r="B7" s="3" t="s">
        <v>486</v>
      </c>
      <c r="C7" s="3"/>
      <c r="D7" s="3"/>
      <c r="E7" s="3"/>
      <c r="F7" s="3"/>
      <c r="G7" s="3"/>
      <c r="H7" s="3"/>
      <c r="I7" s="3"/>
      <c r="J7" s="3"/>
      <c r="K7" s="3"/>
      <c r="L7" s="3"/>
      <c r="M7" s="3"/>
      <c r="N7" s="3"/>
      <c r="O7" s="3"/>
      <c r="P7" s="3"/>
      <c r="Q7" s="3"/>
    </row>
    <row r="8" ht="14.25" customHeight="1" spans="1:17">
      <c r="B8" s="4" t="s">
        <v>39</v>
      </c>
      <c r="C8" s="5">
        <f>'Cash Flows'!C8</f>
        <v>2022</v>
      </c>
      <c r="D8" s="5">
        <f>'Cash Flows'!D8</f>
        <v>2023</v>
      </c>
      <c r="E8" s="5">
        <f>'Cash Flows'!E8</f>
        <v>2024</v>
      </c>
      <c r="F8" s="5">
        <f>'Cash Flows'!F8</f>
        <v>2025</v>
      </c>
      <c r="G8" s="5">
        <f>'Cash Flows'!G8</f>
        <v>2026</v>
      </c>
      <c r="H8" s="5">
        <f>'Cash Flows'!H8</f>
        <v>2027</v>
      </c>
      <c r="I8" s="5">
        <f>'Cash Flows'!I8</f>
        <v>2028</v>
      </c>
      <c r="J8" s="5">
        <f>'Cash Flows'!J8</f>
        <v>2029</v>
      </c>
      <c r="K8" s="5">
        <f>'Cash Flows'!K8</f>
        <v>2030</v>
      </c>
      <c r="L8" s="5">
        <f>'Cash Flows'!L8</f>
        <v>2031</v>
      </c>
      <c r="M8" s="5">
        <f>'Cash Flows'!M8</f>
        <v>2032</v>
      </c>
      <c r="N8" s="5">
        <f>'Cash Flows'!N8</f>
        <v>2033</v>
      </c>
      <c r="O8" s="5">
        <f>'Cash Flows'!O8</f>
        <v>2034</v>
      </c>
      <c r="P8" s="5">
        <f>'Cash Flows'!P8</f>
        <v>2035</v>
      </c>
      <c r="Q8" s="5">
        <f>'Cash Flows'!Q8</f>
        <v>2036</v>
      </c>
    </row>
    <row r="9" ht="14.25" customHeight="1" spans="1:17">
      <c r="B9" s="4"/>
      <c r="C9" s="6" t="s">
        <v>85</v>
      </c>
      <c r="D9" s="6" t="s">
        <v>85</v>
      </c>
      <c r="E9" s="6" t="s">
        <v>85</v>
      </c>
      <c r="F9" s="6" t="s">
        <v>85</v>
      </c>
      <c r="G9" s="6" t="s">
        <v>85</v>
      </c>
      <c r="H9" s="7" t="s">
        <v>254</v>
      </c>
      <c r="I9" s="7" t="s">
        <v>255</v>
      </c>
      <c r="J9" s="7" t="s">
        <v>255</v>
      </c>
      <c r="K9" s="7" t="s">
        <v>255</v>
      </c>
      <c r="L9" s="7" t="s">
        <v>255</v>
      </c>
      <c r="M9" s="7" t="s">
        <v>255</v>
      </c>
      <c r="N9" s="7" t="s">
        <v>255</v>
      </c>
      <c r="O9" s="7" t="s">
        <v>255</v>
      </c>
      <c r="P9" s="7" t="s">
        <v>255</v>
      </c>
      <c r="Q9" s="7" t="s">
        <v>255</v>
      </c>
    </row>
    <row r="10" ht="14.25" customHeight="1" spans="1:17">
      <c r="B10" s="8"/>
      <c r="C10" s="8"/>
      <c r="D10" s="8"/>
      <c r="E10" s="8"/>
      <c r="F10" s="8"/>
      <c r="G10" s="8"/>
      <c r="H10" s="9"/>
      <c r="I10" s="9"/>
      <c r="J10" s="9"/>
      <c r="K10" s="9"/>
      <c r="L10" s="9"/>
      <c r="M10" s="9"/>
      <c r="N10" s="9"/>
      <c r="O10" s="9"/>
      <c r="P10" s="9"/>
      <c r="Q10" s="9"/>
    </row>
    <row r="11" ht="14.25" customHeight="1" spans="1:17">
      <c r="B11" s="8" t="s">
        <v>99</v>
      </c>
      <c r="C11" s="8"/>
      <c r="D11" s="10">
        <f>'Income Statement'!D29</f>
        <v>357783</v>
      </c>
      <c r="E11" s="10">
        <f>'Income Statement'!E29</f>
        <v>401896</v>
      </c>
      <c r="F11" s="10">
        <f>'Income Statement'!F29</f>
        <v>491626</v>
      </c>
      <c r="G11" s="11">
        <f>'Income Statement'!G29</f>
        <v>697810</v>
      </c>
      <c r="H11" s="12">
        <f>'Income Statement'!H29</f>
        <v>811084.844407562</v>
      </c>
      <c r="I11" s="12">
        <f>'Income Statement'!I29</f>
        <v>970095.619545235</v>
      </c>
      <c r="J11" s="12">
        <f>'Income Statement'!J29</f>
        <v>1134528.97693194</v>
      </c>
      <c r="K11" s="12">
        <f>'Income Statement'!K29</f>
        <v>1301474.90092052</v>
      </c>
      <c r="L11" s="12">
        <f>'Income Statement'!L29</f>
        <v>1467589.7865964</v>
      </c>
      <c r="M11" s="12">
        <f>'Income Statement'!M29</f>
        <v>1629185.43834423</v>
      </c>
      <c r="N11" s="12">
        <f>'Income Statement'!N29</f>
        <v>1782346.88420081</v>
      </c>
      <c r="O11" s="12">
        <f>'Income Statement'!O29</f>
        <v>1923074.73513196</v>
      </c>
      <c r="P11" s="12">
        <f>'Income Statement'!P29</f>
        <v>2047445.43110172</v>
      </c>
      <c r="Q11" s="12">
        <f>'Income Statement'!Q29</f>
        <v>2151780.63845284</v>
      </c>
    </row>
    <row r="12" ht="14.25" customHeight="1" spans="1:17">
      <c r="B12" s="8" t="s">
        <v>487</v>
      </c>
      <c r="C12" s="8"/>
      <c r="D12" s="11">
        <f>-D11*'Cost Builup'!D34</f>
        <v>-92321.8278152494</v>
      </c>
      <c r="E12" s="11">
        <f>-E11*'Cost Builup'!E34</f>
        <v>-130626.501774588</v>
      </c>
      <c r="F12" s="11">
        <f>-F11*'Cost Builup'!F34</f>
        <v>-11743.1505709858</v>
      </c>
      <c r="G12" s="11">
        <f>-G11*'Cost Builup'!G34</f>
        <v>-175328.765360494</v>
      </c>
      <c r="H12" s="13">
        <f>-H11*'Cost Builup'!H34</f>
        <v>-207845.144020531</v>
      </c>
      <c r="I12" s="13">
        <f>-I11*'Cost Builup'!I34</f>
        <v>-248592.567286029</v>
      </c>
      <c r="J12" s="13">
        <f>-J11*'Cost Builup'!J34</f>
        <v>-296402.203243162</v>
      </c>
      <c r="K12" s="13">
        <f>-K11*'Cost Builup'!K34</f>
        <v>-340017.783540191</v>
      </c>
      <c r="L12" s="13">
        <f>-L11*'Cost Builup'!L34</f>
        <v>-390754.199243907</v>
      </c>
      <c r="M12" s="13">
        <f>-M11*'Cost Builup'!M34</f>
        <v>-433779.968485913</v>
      </c>
      <c r="N12" s="13">
        <f>-N11*'Cost Builup'!N34</f>
        <v>-483471.816449083</v>
      </c>
      <c r="O12" s="13">
        <f>-O11*'Cost Builup'!O34</f>
        <v>-521645.05327395</v>
      </c>
      <c r="P12" s="13">
        <f>-P11*'Cost Builup'!P34</f>
        <v>-565618.545141194</v>
      </c>
      <c r="Q12" s="13">
        <f>-Q11*'Cost Builup'!Q34</f>
        <v>-594441.744671933</v>
      </c>
    </row>
    <row r="13" ht="14.25" customHeight="1" spans="1:17">
      <c r="B13" s="8" t="s">
        <v>488</v>
      </c>
      <c r="C13" s="8"/>
      <c r="D13" s="10">
        <f>'Income Statement'!D27</f>
        <v>364318</v>
      </c>
      <c r="E13" s="10">
        <f>'Income Statement'!E27</f>
        <v>395376</v>
      </c>
      <c r="F13" s="10">
        <f>'Income Statement'!F27</f>
        <v>455703</v>
      </c>
      <c r="G13" s="10">
        <f>'Income Statement'!G27</f>
        <v>527108</v>
      </c>
      <c r="H13" s="12">
        <f>'Income Statement'!H27</f>
        <v>537650.16</v>
      </c>
      <c r="I13" s="12">
        <f>'Income Statement'!I27</f>
        <v>548403.1632</v>
      </c>
      <c r="J13" s="12">
        <f>'Income Statement'!J27</f>
        <v>559371.226464</v>
      </c>
      <c r="K13" s="12">
        <f>'Income Statement'!K27</f>
        <v>570558.65099328</v>
      </c>
      <c r="L13" s="12">
        <f>'Income Statement'!L27</f>
        <v>581969.824013146</v>
      </c>
      <c r="M13" s="12">
        <f>'Income Statement'!M27</f>
        <v>593609.220493409</v>
      </c>
      <c r="N13" s="12">
        <f>'Income Statement'!N27</f>
        <v>605481.404903277</v>
      </c>
      <c r="O13" s="12">
        <f>'Income Statement'!O27</f>
        <v>617591.033001342</v>
      </c>
      <c r="P13" s="12">
        <f>'Income Statement'!P27</f>
        <v>629942.853661369</v>
      </c>
      <c r="Q13" s="12">
        <f>'Income Statement'!Q27</f>
        <v>642541.710734597</v>
      </c>
    </row>
    <row r="14" ht="14.25" customHeight="1" spans="1:17">
      <c r="B14" s="8" t="s">
        <v>489</v>
      </c>
      <c r="C14" s="8"/>
      <c r="D14" s="11">
        <f>SUM('Cash Flows'!D37:D40)</f>
        <v>-388184</v>
      </c>
      <c r="E14" s="11">
        <f>SUM('Cash Flows'!E37:E40)</f>
        <v>-520834</v>
      </c>
      <c r="F14" s="11">
        <f>SUM('Cash Flows'!F37:F40)</f>
        <v>-606904</v>
      </c>
      <c r="G14" s="11">
        <f>SUM('Cash Flows'!G37:G40)</f>
        <v>-464008</v>
      </c>
      <c r="H14" s="13">
        <f>SUM('Cash Flows'!H37:H40)</f>
        <v>-1071809.61</v>
      </c>
      <c r="I14" s="13">
        <f>SUM('Cash Flows'!I37:I40)</f>
        <v>-1082562.6132</v>
      </c>
      <c r="J14" s="13">
        <f>SUM('Cash Flows'!J37:J40)</f>
        <v>-1093530.676464</v>
      </c>
      <c r="K14" s="13">
        <f>SUM('Cash Flows'!K37:K40)</f>
        <v>-1310007.38099328</v>
      </c>
      <c r="L14" s="13">
        <f>SUM('Cash Flows'!L37:L40)</f>
        <v>-1321418.55401314</v>
      </c>
      <c r="M14" s="13">
        <f>SUM('Cash Flows'!M37:M40)</f>
        <v>-1333057.95049341</v>
      </c>
      <c r="N14" s="13">
        <f>SUM('Cash Flows'!N37:N40)</f>
        <v>-1632335.12690328</v>
      </c>
      <c r="O14" s="13">
        <f>SUM('Cash Flows'!O37:O40)</f>
        <v>-1644444.75500134</v>
      </c>
      <c r="P14" s="13">
        <f>SUM('Cash Flows'!P37:P40)</f>
        <v>-1656796.57566137</v>
      </c>
      <c r="Q14" s="13">
        <f>SUM('Cash Flows'!Q37:Q40)</f>
        <v>-2071762.4215346</v>
      </c>
    </row>
    <row r="15" ht="14.25" customHeight="1" spans="1:17">
      <c r="B15" s="8" t="s">
        <v>490</v>
      </c>
      <c r="C15" s="8"/>
      <c r="D15" s="11">
        <f>SUM('Cash Flows'!D26:D31)</f>
        <v>-31120</v>
      </c>
      <c r="E15" s="11">
        <f>SUM('Cash Flows'!E26:E31)</f>
        <v>24136</v>
      </c>
      <c r="F15" s="11">
        <f>SUM('Cash Flows'!F26:F31)</f>
        <v>83813</v>
      </c>
      <c r="G15" s="11">
        <f>SUM('Cash Flows'!G26:G31)</f>
        <v>72042</v>
      </c>
      <c r="H15" s="13">
        <f>SUM('Cash Flows'!H26:H31)</f>
        <v>-114619.913740508</v>
      </c>
      <c r="I15" s="13">
        <f>SUM('Cash Flows'!I26:I31)</f>
        <v>63548.8300048467</v>
      </c>
      <c r="J15" s="13">
        <f>SUM('Cash Flows'!J26:J31)</f>
        <v>68297.1439382587</v>
      </c>
      <c r="K15" s="13">
        <f>SUM('Cash Flows'!K26:K31)</f>
        <v>63608.2416302288</v>
      </c>
      <c r="L15" s="13">
        <f>SUM('Cash Flows'!L26:L31)</f>
        <v>69691.9121511379</v>
      </c>
      <c r="M15" s="13">
        <f>SUM('Cash Flows'!M26:M31)</f>
        <v>66242.6384681371</v>
      </c>
      <c r="N15" s="13">
        <f>SUM('Cash Flows'!N26:N31)</f>
        <v>62416.532255752</v>
      </c>
      <c r="O15" s="13">
        <f>SUM('Cash Flows'!O26:O31)</f>
        <v>58039.6047176122</v>
      </c>
      <c r="P15" s="13">
        <f>SUM('Cash Flows'!P26:P31)</f>
        <v>51388.4152248014</v>
      </c>
      <c r="Q15" s="13">
        <f>SUM('Cash Flows'!Q26:Q31)</f>
        <v>44976.4398280817</v>
      </c>
    </row>
    <row r="16" ht="14.25" customHeight="1" spans="1:17">
      <c r="B16" s="8"/>
      <c r="C16" s="8"/>
      <c r="D16" s="8"/>
      <c r="E16" s="8"/>
      <c r="F16" s="8"/>
      <c r="G16" s="8"/>
      <c r="H16" s="9"/>
      <c r="I16" s="9"/>
      <c r="J16" s="9"/>
      <c r="K16" s="9"/>
      <c r="L16" s="9"/>
      <c r="M16" s="9"/>
      <c r="N16" s="9"/>
      <c r="O16" s="9"/>
      <c r="P16" s="9"/>
      <c r="Q16" s="9"/>
    </row>
    <row r="17" ht="14.25" customHeight="1" spans="2:17">
      <c r="B17" s="14" t="s">
        <v>486</v>
      </c>
      <c r="C17" s="15"/>
      <c r="D17" s="16">
        <f t="shared" ref="D17:Q17" si="0">SUM(D11:D16)</f>
        <v>210475.172184751</v>
      </c>
      <c r="E17" s="15">
        <f t="shared" si="0"/>
        <v>169947.498225412</v>
      </c>
      <c r="F17" s="15">
        <f t="shared" si="0"/>
        <v>412494.849429014</v>
      </c>
      <c r="G17" s="16">
        <f t="shared" si="0"/>
        <v>657623.234639506</v>
      </c>
      <c r="H17" s="17">
        <f t="shared" si="0"/>
        <v>-45539.6633534776</v>
      </c>
      <c r="I17" s="17">
        <f t="shared" si="0"/>
        <v>250892.432264052</v>
      </c>
      <c r="J17" s="17">
        <f t="shared" si="0"/>
        <v>372264.467627039</v>
      </c>
      <c r="K17" s="17">
        <f t="shared" si="0"/>
        <v>285616.629010561</v>
      </c>
      <c r="L17" s="17">
        <f t="shared" si="0"/>
        <v>407078.769503632</v>
      </c>
      <c r="M17" s="17">
        <f t="shared" si="0"/>
        <v>522199.378326456</v>
      </c>
      <c r="N17" s="17">
        <f t="shared" si="0"/>
        <v>334437.878007476</v>
      </c>
      <c r="O17" s="17">
        <f t="shared" si="0"/>
        <v>432615.564575623</v>
      </c>
      <c r="P17" s="17">
        <f t="shared" si="0"/>
        <v>506361.579185327</v>
      </c>
      <c r="Q17" s="17">
        <f t="shared" si="0"/>
        <v>173094.622808987</v>
      </c>
    </row>
    <row r="18" ht="14.25" customHeight="1" spans="2:17">
      <c r="B18" s="8"/>
      <c r="C18" s="8"/>
      <c r="D18" s="8"/>
      <c r="E18" s="18"/>
      <c r="F18" s="18"/>
      <c r="G18" s="18"/>
      <c r="H18" s="18"/>
      <c r="I18" s="18"/>
      <c r="J18" s="18"/>
      <c r="K18" s="18"/>
      <c r="L18" s="18"/>
      <c r="M18" s="18"/>
      <c r="N18" s="18"/>
      <c r="O18" s="18"/>
      <c r="P18" s="18"/>
      <c r="Q18" s="18"/>
    </row>
    <row r="19" ht="14.25" customHeight="1" spans="2:17">
      <c r="B19" s="8"/>
      <c r="C19" s="8"/>
      <c r="D19" s="8"/>
      <c r="E19" s="19"/>
      <c r="F19" s="19"/>
      <c r="G19" s="19"/>
      <c r="H19" s="19"/>
      <c r="I19" s="20"/>
      <c r="J19" s="20"/>
      <c r="K19" s="20"/>
      <c r="L19" s="20"/>
      <c r="M19" s="20"/>
      <c r="N19" s="20"/>
      <c r="O19" s="20"/>
      <c r="P19" s="20"/>
      <c r="Q19" s="20"/>
    </row>
    <row r="20" ht="14.25" customHeight="1" spans="2:17">
      <c r="B20" s="21" t="s">
        <v>491</v>
      </c>
      <c r="C20" s="21"/>
      <c r="D20" s="8"/>
      <c r="E20" s="8"/>
      <c r="F20" s="8"/>
      <c r="G20" s="8"/>
      <c r="H20" s="10"/>
      <c r="I20" s="8"/>
      <c r="J20" s="8"/>
      <c r="K20" s="10"/>
      <c r="L20" s="8"/>
      <c r="M20" s="8"/>
      <c r="N20" s="8"/>
      <c r="O20" s="8"/>
      <c r="P20" s="8"/>
      <c r="Q20" s="8"/>
    </row>
    <row r="21" ht="15" customHeight="1" spans="2:17">
      <c r="B21" s="8" t="s">
        <v>492</v>
      </c>
      <c r="C21" s="20">
        <f>Assumptions!D31</f>
        <v>0.06707</v>
      </c>
      <c r="D21" s="8"/>
      <c r="E21" s="8"/>
      <c r="F21" s="8"/>
      <c r="G21" s="8"/>
      <c r="H21" s="10"/>
      <c r="I21" s="8"/>
      <c r="J21" s="8"/>
      <c r="K21" s="8"/>
      <c r="L21" s="8"/>
      <c r="M21" s="8"/>
      <c r="N21" s="8"/>
      <c r="O21" s="8"/>
      <c r="P21" s="8"/>
      <c r="Q21" s="8"/>
    </row>
    <row r="22" ht="15" customHeight="1" spans="2:17">
      <c r="B22" s="8" t="s">
        <v>493</v>
      </c>
      <c r="C22" s="20">
        <f>'Market Data'!G26</f>
        <v>0.111016360386321</v>
      </c>
      <c r="D22" s="8"/>
      <c r="E22" s="8"/>
      <c r="F22" s="8"/>
      <c r="G22" s="8"/>
      <c r="H22" s="8"/>
      <c r="I22" s="8"/>
      <c r="J22" s="8"/>
      <c r="K22" s="8"/>
      <c r="L22" s="8"/>
      <c r="M22" s="8"/>
      <c r="N22" s="8"/>
      <c r="O22" s="8"/>
      <c r="P22" s="8"/>
      <c r="Q22" s="8"/>
    </row>
    <row r="23" ht="14.25" customHeight="1" spans="2:17">
      <c r="B23" s="8" t="s">
        <v>437</v>
      </c>
      <c r="C23" s="22">
        <f>'Equity Beta'!I25</f>
        <v>0.746107091536572</v>
      </c>
      <c r="D23" s="8"/>
      <c r="E23" s="8"/>
      <c r="F23" s="8"/>
      <c r="G23" s="8"/>
      <c r="H23" s="8"/>
      <c r="I23" s="8"/>
      <c r="J23" s="8"/>
      <c r="K23" s="8"/>
      <c r="L23" s="8"/>
      <c r="M23" s="8"/>
      <c r="N23" s="8"/>
      <c r="O23" s="8"/>
      <c r="P23" s="8"/>
      <c r="Q23" s="8"/>
    </row>
    <row r="24" ht="15" customHeight="1" spans="2:17">
      <c r="B24" s="8" t="s">
        <v>494</v>
      </c>
      <c r="C24" s="20">
        <f>C22-C21</f>
        <v>0.0439463603863212</v>
      </c>
      <c r="D24" s="8"/>
      <c r="E24" s="8"/>
      <c r="F24" s="8"/>
      <c r="G24" s="8"/>
      <c r="H24" s="8"/>
      <c r="I24" s="8"/>
      <c r="J24" s="8"/>
      <c r="K24" s="8"/>
      <c r="L24" s="8"/>
      <c r="M24" s="8"/>
      <c r="N24" s="8"/>
      <c r="O24" s="8"/>
      <c r="P24" s="8"/>
      <c r="Q24" s="8"/>
    </row>
    <row r="25" ht="14.25" customHeight="1" spans="2:17">
      <c r="B25" s="8"/>
      <c r="C25" s="8"/>
      <c r="D25" s="8"/>
      <c r="E25" s="8"/>
      <c r="F25" s="8"/>
      <c r="G25" s="8"/>
      <c r="H25" s="8"/>
      <c r="I25" s="8"/>
      <c r="J25" s="8"/>
      <c r="K25" s="8"/>
      <c r="L25" s="8"/>
      <c r="M25" s="8"/>
      <c r="N25" s="8"/>
      <c r="O25" s="8"/>
      <c r="P25" s="8"/>
      <c r="Q25" s="8"/>
    </row>
    <row r="26" ht="14.25" customHeight="1" spans="2:17">
      <c r="B26" s="14" t="s">
        <v>495</v>
      </c>
      <c r="C26" s="23">
        <f>C21+C23*C24</f>
        <v>0.0998586911314562</v>
      </c>
      <c r="D26" s="14"/>
      <c r="E26" s="14"/>
      <c r="F26" s="14"/>
      <c r="G26" s="14"/>
      <c r="H26" s="14"/>
      <c r="I26" s="14"/>
      <c r="J26" s="14"/>
      <c r="K26" s="14"/>
      <c r="L26" s="14"/>
      <c r="M26" s="14"/>
      <c r="N26" s="14"/>
      <c r="O26" s="14"/>
      <c r="P26" s="14"/>
      <c r="Q26" s="14"/>
    </row>
    <row r="27" ht="14.25" customHeight="1" spans="2:17">
      <c r="B27" s="8"/>
      <c r="C27" s="20"/>
      <c r="D27" s="8"/>
      <c r="E27" s="8"/>
      <c r="F27" s="8"/>
      <c r="G27" s="8"/>
      <c r="H27" s="8"/>
      <c r="I27" s="8"/>
      <c r="J27" s="8"/>
      <c r="K27" s="8"/>
      <c r="L27" s="8"/>
      <c r="M27" s="8"/>
      <c r="N27" s="8"/>
      <c r="O27" s="8"/>
      <c r="P27" s="8"/>
      <c r="Q27" s="8"/>
    </row>
    <row r="28" ht="14.25" customHeight="1" spans="2:17">
      <c r="B28" s="8"/>
      <c r="C28" s="8"/>
      <c r="D28" s="8"/>
      <c r="E28" s="8"/>
      <c r="F28" s="8"/>
      <c r="G28" s="8"/>
      <c r="H28" s="8"/>
      <c r="I28" s="8"/>
      <c r="J28" s="8"/>
      <c r="K28" s="8"/>
      <c r="L28" s="8"/>
      <c r="M28" s="8"/>
      <c r="N28" s="8"/>
      <c r="O28" s="8"/>
      <c r="P28" s="8"/>
      <c r="Q28" s="8"/>
    </row>
    <row r="29" ht="14.25" customHeight="1" spans="2:17">
      <c r="B29" s="21" t="s">
        <v>496</v>
      </c>
      <c r="C29" s="21"/>
      <c r="D29" s="21"/>
      <c r="E29" s="21"/>
      <c r="F29" s="8"/>
      <c r="G29" s="8"/>
      <c r="H29" s="8"/>
      <c r="I29" s="8"/>
      <c r="J29" s="8"/>
      <c r="K29" s="8"/>
      <c r="L29" s="8"/>
      <c r="M29" s="8"/>
      <c r="N29" s="8"/>
      <c r="O29" s="8"/>
      <c r="P29" s="8"/>
      <c r="Q29" s="8"/>
    </row>
    <row r="30" ht="14.25" customHeight="1" spans="2:17">
      <c r="B30" s="24" t="s">
        <v>39</v>
      </c>
      <c r="C30" s="24" t="s">
        <v>497</v>
      </c>
      <c r="D30" s="24" t="s">
        <v>498</v>
      </c>
      <c r="E30" s="24" t="s">
        <v>499</v>
      </c>
      <c r="F30" s="24"/>
      <c r="G30" s="24"/>
      <c r="H30" s="24"/>
      <c r="I30" s="24"/>
      <c r="J30" s="24"/>
      <c r="K30" s="24"/>
      <c r="L30" s="24"/>
      <c r="M30" s="24"/>
      <c r="N30" s="24"/>
      <c r="O30" s="24"/>
      <c r="P30" s="24"/>
      <c r="Q30" s="24"/>
    </row>
    <row r="31" ht="14.25" customHeight="1" spans="2:17">
      <c r="B31" s="8" t="s">
        <v>500</v>
      </c>
      <c r="C31" s="20">
        <f>C26</f>
        <v>0.0998586911314562</v>
      </c>
      <c r="D31" s="20">
        <f>C35/C37</f>
        <v>0.378048896855812</v>
      </c>
      <c r="E31" s="20">
        <f>D31*C31</f>
        <v>0.0377514680237122</v>
      </c>
      <c r="F31" s="8"/>
      <c r="G31" s="8"/>
      <c r="H31" s="8"/>
      <c r="I31" s="8"/>
      <c r="J31" s="8"/>
      <c r="K31" s="8"/>
      <c r="L31" s="8"/>
      <c r="M31" s="8"/>
      <c r="N31" s="8"/>
      <c r="O31" s="8"/>
      <c r="P31" s="8"/>
      <c r="Q31" s="8"/>
    </row>
    <row r="32" ht="14.25" customHeight="1" spans="2:17">
      <c r="B32" s="8" t="s">
        <v>501</v>
      </c>
      <c r="C32" s="20">
        <f>Assumptions!D32</f>
        <v>0.0749489863269316</v>
      </c>
      <c r="D32" s="20">
        <f>C36/C37</f>
        <v>0.621951103144188</v>
      </c>
      <c r="E32" s="20">
        <f>D32*C32</f>
        <v>0.0466146047255738</v>
      </c>
      <c r="F32" s="8"/>
      <c r="G32" s="8"/>
      <c r="H32" s="8"/>
      <c r="I32" s="8"/>
      <c r="J32" s="8"/>
      <c r="K32" s="8"/>
      <c r="L32" s="8"/>
      <c r="M32" s="8"/>
      <c r="N32" s="8"/>
      <c r="O32" s="8"/>
      <c r="P32" s="8"/>
      <c r="Q32" s="8"/>
    </row>
    <row r="33" ht="14.25" customHeight="1" spans="2:17">
      <c r="B33" s="14" t="s">
        <v>496</v>
      </c>
      <c r="C33" s="8"/>
      <c r="D33" s="8"/>
      <c r="E33" s="25">
        <f>SUM(E31:E32)</f>
        <v>0.084366072749286</v>
      </c>
      <c r="F33" s="8"/>
      <c r="G33" s="8"/>
      <c r="H33" s="8"/>
      <c r="I33" s="8"/>
      <c r="J33" s="8"/>
      <c r="K33" s="8"/>
      <c r="L33" s="8"/>
      <c r="M33" s="8"/>
      <c r="N33" s="8"/>
      <c r="O33" s="8"/>
      <c r="P33" s="8"/>
      <c r="Q33" s="8"/>
    </row>
    <row r="34" ht="14.25" customHeight="1" spans="2:17">
      <c r="B34" s="14"/>
      <c r="C34" s="8"/>
      <c r="D34" s="8"/>
      <c r="E34" s="26"/>
      <c r="F34" s="8"/>
      <c r="G34" s="8"/>
      <c r="H34" s="8"/>
      <c r="I34" s="8"/>
      <c r="J34" s="8"/>
      <c r="K34" s="8"/>
      <c r="L34" s="8"/>
      <c r="M34" s="8"/>
      <c r="N34" s="8"/>
      <c r="O34" s="8"/>
      <c r="P34" s="8"/>
      <c r="Q34" s="8"/>
    </row>
    <row r="35" ht="14.25" customHeight="1" spans="2:17">
      <c r="B35" s="8" t="s">
        <v>502</v>
      </c>
      <c r="C35" s="10">
        <f>Assumptions!D26</f>
        <v>1187797.1957</v>
      </c>
      <c r="D35" s="8"/>
      <c r="E35" s="8"/>
      <c r="F35" s="8"/>
      <c r="G35" s="8"/>
      <c r="H35" s="8"/>
      <c r="I35" s="8"/>
      <c r="J35" s="8"/>
      <c r="K35" s="8"/>
      <c r="L35" s="8"/>
      <c r="M35" s="8"/>
      <c r="N35" s="8"/>
      <c r="O35" s="8"/>
      <c r="P35" s="8"/>
      <c r="Q35" s="8"/>
    </row>
    <row r="36" ht="14.25" customHeight="1" spans="2:17">
      <c r="B36" s="8" t="s">
        <v>503</v>
      </c>
      <c r="C36" s="10">
        <f>'Balance Sheet'!G50+'Balance Sheet'!G61+'Balance Sheet'!G51+'Balance Sheet'!G62</f>
        <v>1954117</v>
      </c>
      <c r="D36" s="8"/>
      <c r="E36" s="8"/>
      <c r="F36" s="8"/>
      <c r="G36" s="8"/>
      <c r="H36" s="8"/>
      <c r="I36" s="8"/>
      <c r="J36" s="8"/>
      <c r="K36" s="8"/>
      <c r="L36" s="8"/>
      <c r="M36" s="8"/>
      <c r="N36" s="8"/>
      <c r="O36" s="8"/>
      <c r="P36" s="8"/>
      <c r="Q36" s="8"/>
    </row>
    <row r="37" ht="14.25" customHeight="1" spans="2:17">
      <c r="B37" s="8" t="s">
        <v>504</v>
      </c>
      <c r="C37" s="15">
        <f>SUM(C35:C36)</f>
        <v>3141914.1957</v>
      </c>
      <c r="D37" s="8"/>
      <c r="E37" s="8"/>
      <c r="F37" s="8"/>
      <c r="G37" s="8"/>
      <c r="H37" s="8"/>
      <c r="I37" s="8"/>
      <c r="J37" s="8"/>
      <c r="K37" s="8"/>
      <c r="L37" s="8"/>
      <c r="M37" s="8"/>
      <c r="N37" s="8"/>
      <c r="O37" s="8"/>
      <c r="P37" s="8"/>
      <c r="Q37" s="8"/>
    </row>
    <row r="38" ht="14.25" customHeight="1" spans="2:17">
      <c r="B38" s="8"/>
      <c r="C38" s="8"/>
      <c r="D38" s="8"/>
      <c r="E38" s="8"/>
      <c r="F38" s="8"/>
      <c r="G38" s="8"/>
      <c r="H38" s="8"/>
      <c r="I38" s="8"/>
      <c r="J38" s="8"/>
      <c r="K38" s="8"/>
      <c r="L38" s="8"/>
      <c r="M38" s="8"/>
      <c r="N38" s="8"/>
      <c r="O38" s="8"/>
      <c r="P38" s="8"/>
      <c r="Q38" s="8"/>
    </row>
    <row r="39" ht="14.25" customHeight="1" spans="2:17">
      <c r="B39" s="8"/>
      <c r="C39" s="8"/>
      <c r="D39" s="8"/>
      <c r="E39" s="8"/>
      <c r="F39" s="8"/>
      <c r="G39" s="8"/>
      <c r="H39" s="8"/>
      <c r="I39" s="8"/>
      <c r="J39" s="8"/>
      <c r="K39" s="8"/>
      <c r="L39" s="8"/>
      <c r="M39" s="8"/>
      <c r="N39" s="8"/>
      <c r="O39" s="8"/>
      <c r="P39" s="8"/>
      <c r="Q39" s="8"/>
    </row>
    <row r="40" ht="14.25" customHeight="1" spans="2:17">
      <c r="B40" s="21" t="s">
        <v>505</v>
      </c>
      <c r="C40" s="21"/>
      <c r="D40" s="8"/>
      <c r="E40" s="8"/>
      <c r="F40" s="8"/>
      <c r="G40" s="8"/>
      <c r="H40" s="8"/>
      <c r="I40" s="8"/>
      <c r="J40" s="8"/>
      <c r="K40" s="8"/>
      <c r="L40" s="8"/>
      <c r="M40" s="8"/>
      <c r="N40" s="8"/>
      <c r="O40" s="8"/>
      <c r="P40" s="8"/>
      <c r="Q40" s="8"/>
    </row>
    <row r="41" ht="14.25" customHeight="1" spans="2:17">
      <c r="B41" s="8" t="s">
        <v>47</v>
      </c>
      <c r="C41" s="20">
        <f>Assumptions!D30</f>
        <v>0.04</v>
      </c>
      <c r="D41" s="8"/>
      <c r="E41" s="8"/>
      <c r="F41" s="8"/>
      <c r="G41" s="8"/>
      <c r="H41" s="8"/>
      <c r="I41" s="8"/>
      <c r="J41" s="8"/>
      <c r="K41" s="8"/>
      <c r="L41" s="8"/>
      <c r="M41" s="8"/>
      <c r="N41" s="8"/>
      <c r="O41" s="8"/>
      <c r="P41" s="8"/>
      <c r="Q41" s="8"/>
    </row>
    <row r="42" ht="14.25" customHeight="1" spans="2:17">
      <c r="B42" s="8" t="s">
        <v>505</v>
      </c>
      <c r="C42" s="10">
        <f>Q17*(1+C41)/(E33-C41)</f>
        <v>4057569.14159691</v>
      </c>
      <c r="D42" s="8"/>
      <c r="E42" s="8"/>
      <c r="F42" s="8"/>
      <c r="G42" s="8"/>
      <c r="H42" s="8"/>
      <c r="I42" s="8"/>
      <c r="J42" s="8"/>
      <c r="K42" s="8"/>
      <c r="L42" s="8"/>
      <c r="M42" s="8"/>
      <c r="N42" s="8"/>
      <c r="O42" s="8"/>
      <c r="P42" s="8"/>
      <c r="Q42" s="8"/>
    </row>
    <row r="43" ht="14.25" customHeight="1" spans="2:17">
      <c r="B43" s="8" t="s">
        <v>506</v>
      </c>
      <c r="C43" s="8">
        <f>COMPS!$P$21*'Income Statement'!Q25</f>
        <v>42065312.0048829</v>
      </c>
      <c r="D43" s="8"/>
      <c r="E43" s="8"/>
      <c r="F43" s="8"/>
      <c r="G43" s="8"/>
      <c r="H43" s="8"/>
      <c r="I43" s="8"/>
      <c r="J43" s="8"/>
      <c r="K43" s="8"/>
      <c r="L43" s="8"/>
      <c r="M43" s="8"/>
      <c r="N43" s="8"/>
      <c r="O43" s="8"/>
      <c r="P43" s="8"/>
      <c r="Q43" s="8"/>
    </row>
    <row r="44" ht="14.25" customHeight="1" spans="2:17">
      <c r="B44" s="21" t="s">
        <v>507</v>
      </c>
      <c r="C44" s="21"/>
      <c r="D44" s="8"/>
      <c r="E44" s="8"/>
      <c r="F44" s="8"/>
      <c r="G44" s="8"/>
      <c r="H44" s="8"/>
      <c r="I44" s="8"/>
      <c r="J44" s="8"/>
      <c r="K44" s="8"/>
      <c r="L44" s="8"/>
      <c r="M44" s="8"/>
      <c r="N44" s="8"/>
      <c r="O44" s="8"/>
      <c r="P44" s="8"/>
      <c r="Q44" s="8"/>
    </row>
    <row r="45" ht="14.25" customHeight="1" spans="2:17">
      <c r="B45" s="8" t="s">
        <v>508</v>
      </c>
      <c r="C45" s="10">
        <f>NPV(E33,H17:Q17)</f>
        <v>1999925.61311836</v>
      </c>
      <c r="D45" s="8"/>
      <c r="E45" s="8"/>
      <c r="F45" s="8"/>
      <c r="G45" s="8"/>
      <c r="H45" s="8"/>
      <c r="I45" s="8"/>
      <c r="J45" s="8"/>
      <c r="K45" s="8"/>
      <c r="L45" s="8"/>
      <c r="M45" s="8"/>
      <c r="N45" s="8"/>
      <c r="O45" s="8"/>
      <c r="P45" s="8"/>
      <c r="Q45" s="8"/>
    </row>
    <row r="46" ht="14.25" customHeight="1" spans="2:17">
      <c r="B46" s="8" t="s">
        <v>509</v>
      </c>
      <c r="C46" s="10">
        <f>PV(E33,COUNT(H8:Q8),0,-C42)</f>
        <v>1805122.66106327</v>
      </c>
      <c r="D46" s="8"/>
      <c r="E46" s="8"/>
      <c r="F46" s="8"/>
      <c r="G46" s="8"/>
      <c r="H46" s="8"/>
      <c r="I46" s="8"/>
      <c r="J46" s="8"/>
      <c r="K46" s="8"/>
      <c r="L46" s="8"/>
      <c r="M46" s="8"/>
      <c r="N46" s="8"/>
      <c r="O46" s="8"/>
      <c r="P46" s="8"/>
      <c r="Q46" s="8"/>
    </row>
    <row r="47" ht="14.25" customHeight="1" spans="2:17">
      <c r="B47" s="8"/>
      <c r="C47" s="8"/>
      <c r="D47" s="8"/>
      <c r="E47" s="8"/>
      <c r="F47" s="8"/>
      <c r="G47" s="8"/>
      <c r="H47" s="8"/>
      <c r="I47" s="8"/>
      <c r="J47" s="8"/>
      <c r="K47" s="8"/>
      <c r="L47" s="8"/>
      <c r="M47" s="8"/>
      <c r="N47" s="8"/>
      <c r="O47" s="8"/>
      <c r="P47" s="8"/>
      <c r="Q47" s="8"/>
    </row>
    <row r="48" ht="14.25" customHeight="1" spans="2:17">
      <c r="B48" s="14" t="s">
        <v>510</v>
      </c>
      <c r="C48" s="15">
        <f>SUM(C45:C47)</f>
        <v>3805048.27418164</v>
      </c>
      <c r="D48" s="8"/>
      <c r="E48" s="8"/>
      <c r="F48" s="8"/>
      <c r="G48" s="8"/>
      <c r="H48" s="8"/>
      <c r="I48" s="8"/>
      <c r="J48" s="8"/>
      <c r="K48" s="8"/>
      <c r="L48" s="8"/>
      <c r="M48" s="8"/>
      <c r="N48" s="8"/>
      <c r="O48" s="8"/>
      <c r="P48" s="8"/>
      <c r="Q48" s="8"/>
    </row>
    <row r="49" ht="14.25" customHeight="1" spans="2:17">
      <c r="B49" s="8"/>
      <c r="C49" s="8"/>
      <c r="D49" s="8"/>
      <c r="E49" s="8"/>
      <c r="F49" s="8"/>
      <c r="G49" s="8"/>
      <c r="H49" s="8"/>
      <c r="I49" s="8"/>
      <c r="J49" s="8"/>
      <c r="K49" s="8"/>
      <c r="L49" s="8"/>
      <c r="M49" s="8"/>
      <c r="N49" s="8"/>
      <c r="O49" s="8"/>
      <c r="P49" s="8"/>
      <c r="Q49" s="8"/>
    </row>
    <row r="50" ht="14.25" customHeight="1" spans="2:17">
      <c r="B50" s="8" t="s">
        <v>511</v>
      </c>
      <c r="C50" s="10">
        <f>'Balance Sheet'!G34</f>
        <v>137222</v>
      </c>
      <c r="D50" s="8"/>
      <c r="E50" s="8"/>
      <c r="F50" s="8"/>
      <c r="G50" s="8"/>
      <c r="H50" s="8"/>
      <c r="I50" s="8"/>
      <c r="J50" s="8"/>
      <c r="K50" s="8"/>
      <c r="L50" s="8"/>
      <c r="M50" s="8"/>
      <c r="N50" s="8"/>
      <c r="O50" s="8"/>
      <c r="P50" s="8"/>
      <c r="Q50" s="8"/>
    </row>
    <row r="51" ht="14.25" customHeight="1" spans="2:17">
      <c r="B51" s="8" t="s">
        <v>512</v>
      </c>
      <c r="C51" s="10">
        <f>C36</f>
        <v>1954117</v>
      </c>
      <c r="D51" s="8"/>
      <c r="E51" s="8"/>
      <c r="F51" s="8"/>
      <c r="G51" s="8"/>
      <c r="H51" s="8"/>
      <c r="I51" s="8"/>
      <c r="J51" s="8"/>
      <c r="K51" s="8"/>
      <c r="L51" s="8"/>
      <c r="M51" s="8"/>
      <c r="N51" s="8"/>
      <c r="O51" s="8"/>
      <c r="P51" s="8"/>
      <c r="Q51" s="8"/>
    </row>
    <row r="52" ht="14.25" customHeight="1" spans="2:17">
      <c r="B52" s="8" t="s">
        <v>513</v>
      </c>
      <c r="C52" s="10">
        <f>'Balance Sheet'!G46</f>
        <v>469068</v>
      </c>
      <c r="D52" s="8"/>
      <c r="E52" s="8"/>
      <c r="F52" s="8"/>
      <c r="G52" s="8"/>
      <c r="H52" s="8"/>
      <c r="I52" s="8"/>
      <c r="J52" s="8"/>
      <c r="K52" s="8"/>
      <c r="L52" s="8"/>
      <c r="M52" s="8"/>
      <c r="N52" s="8"/>
      <c r="O52" s="8"/>
      <c r="P52" s="8"/>
      <c r="Q52" s="8"/>
    </row>
    <row r="53" ht="14.25" customHeight="1" spans="2:17">
      <c r="B53" s="8" t="s">
        <v>514</v>
      </c>
      <c r="C53" s="10">
        <v>0</v>
      </c>
      <c r="D53" s="8"/>
      <c r="E53" s="8"/>
      <c r="F53" s="8"/>
      <c r="G53" s="8"/>
      <c r="H53" s="8"/>
      <c r="I53" s="8"/>
      <c r="J53" s="8"/>
      <c r="K53" s="8"/>
      <c r="L53" s="8"/>
      <c r="M53" s="8"/>
      <c r="N53" s="8"/>
      <c r="O53" s="8"/>
      <c r="P53" s="8"/>
      <c r="Q53" s="8"/>
    </row>
    <row r="54" ht="14.25" customHeight="1" spans="2:17">
      <c r="B54" s="8"/>
      <c r="C54" s="8"/>
      <c r="D54" s="8"/>
      <c r="E54" s="8"/>
      <c r="F54" s="27" t="s">
        <v>515</v>
      </c>
      <c r="G54" s="27"/>
      <c r="H54" s="27"/>
      <c r="I54" s="27"/>
      <c r="J54" s="27"/>
      <c r="K54" s="27"/>
      <c r="L54" s="27"/>
      <c r="M54" s="8"/>
      <c r="N54" s="8"/>
      <c r="O54" s="8"/>
      <c r="P54" s="8"/>
      <c r="Q54" s="8"/>
    </row>
    <row r="55" ht="14.25" customHeight="1" spans="2:17">
      <c r="B55" s="14" t="s">
        <v>502</v>
      </c>
      <c r="C55" s="15">
        <f>C48+C50-C51-C52-C53</f>
        <v>1519085.27418164</v>
      </c>
      <c r="D55" s="14"/>
      <c r="E55" s="14"/>
      <c r="F55" s="14"/>
      <c r="G55" s="14"/>
      <c r="H55" s="14"/>
      <c r="I55" s="14"/>
      <c r="J55" s="14"/>
      <c r="K55" s="14"/>
      <c r="L55" s="14"/>
      <c r="M55" s="14"/>
      <c r="N55" s="14"/>
      <c r="O55" s="14"/>
      <c r="P55" s="14"/>
      <c r="Q55" s="14"/>
    </row>
    <row r="56" ht="14.25" customHeight="1" spans="2:17">
      <c r="B56" s="8"/>
      <c r="C56" s="8"/>
      <c r="D56" s="8"/>
      <c r="E56" s="8"/>
      <c r="F56" s="28"/>
      <c r="G56" s="28"/>
      <c r="H56" s="29" t="s">
        <v>516</v>
      </c>
      <c r="I56" s="29"/>
      <c r="J56" s="29"/>
      <c r="K56" s="29"/>
      <c r="L56" s="29"/>
      <c r="M56" s="8"/>
      <c r="N56" s="8"/>
      <c r="O56" s="8"/>
      <c r="P56" s="8"/>
      <c r="Q56" s="8"/>
    </row>
    <row r="57" ht="14.25" customHeight="1" spans="2:17">
      <c r="B57" s="8" t="s">
        <v>517</v>
      </c>
      <c r="C57" s="30">
        <f>Assumptions!D23</f>
        <v>6094393000</v>
      </c>
      <c r="D57" s="8"/>
      <c r="E57" s="8"/>
      <c r="F57" s="31">
        <f>C58</f>
        <v>2492.59487233862</v>
      </c>
      <c r="G57" s="32">
        <f>C58</f>
        <v>2492.59487233862</v>
      </c>
      <c r="H57" s="33">
        <v>0.063</v>
      </c>
      <c r="I57" s="33">
        <v>0.073</v>
      </c>
      <c r="J57" s="25">
        <v>0.084366072749286</v>
      </c>
      <c r="K57" s="33">
        <v>0.093</v>
      </c>
      <c r="L57" s="33">
        <v>0.103</v>
      </c>
      <c r="M57" s="8"/>
      <c r="N57" s="8"/>
      <c r="O57" s="8"/>
      <c r="P57" s="8"/>
      <c r="Q57" s="8"/>
    </row>
    <row r="58" ht="14.25" customHeight="1" spans="2:17">
      <c r="B58" s="34" t="s">
        <v>518</v>
      </c>
      <c r="C58" s="35">
        <f>C55*10^7/C57</f>
        <v>2492.59487233862</v>
      </c>
      <c r="D58" s="8"/>
      <c r="E58" s="8"/>
      <c r="F58" s="36" t="s">
        <v>519</v>
      </c>
      <c r="G58" s="33">
        <v>0.02</v>
      </c>
      <c r="H58" s="37">
        <f>(NPV(H$57,$H$17:$Q$17)+PV(H$57,COUNT($H$8:$Q$8),0,-($Q$17*(1+$G58)/(H$57-$G58)))+$C$50-$C$51-$C$52-$C$53)*10^7/$C$57</f>
        <v>3588.77641361075</v>
      </c>
      <c r="I58" s="37">
        <f>(NPV(I$57,$H$17:$Q$17)+PV(I$57,COUNT($H$8:$Q$8),0,-($Q$17*(1+$G58)/(I$57-$G58)))+$C$50-$C$51-$C$52-$C$53)*10^7/$C$57</f>
        <v>2438.226330067</v>
      </c>
      <c r="J58" s="37">
        <f>(NPV(J$57,$H$17:$Q$17)+PV(J$57,COUNT($H$8:$Q$8),0,-($Q$17*(1+$G58)/(J$57-$G58)))+$C$50-$C$51-$C$52-$C$53)*10^7/$C$57</f>
        <v>1532.99136319334</v>
      </c>
      <c r="K58" s="37">
        <f>(NPV(K$57,$H$17:$Q$17)+PV(K$57,COUNT($H$8:$Q$8),0,-($Q$17*(1+$G58)/(K$57-$G58)))+$C$50-$C$51-$C$52-$C$53)*10^7/$C$57</f>
        <v>1016.05291129339</v>
      </c>
      <c r="L58" s="37">
        <f>(NPV(L$57,$H$17:$Q$17)+PV(L$57,COUNT($H$8:$Q$8),0,-($Q$17*(1+$G58)/(L$57-$G58)))+$C$50-$C$51-$C$52-$C$53)*10^7/$C$57</f>
        <v>536.739422475982</v>
      </c>
      <c r="M58" s="8"/>
      <c r="N58" s="8"/>
      <c r="O58" s="8"/>
      <c r="P58" s="8"/>
      <c r="Q58" s="8"/>
    </row>
    <row r="59" ht="14.25" customHeight="1" spans="2:17">
      <c r="B59" s="8"/>
      <c r="C59" s="30"/>
      <c r="D59" s="8"/>
      <c r="E59" s="8"/>
      <c r="F59" s="36"/>
      <c r="G59" s="33">
        <v>0.03</v>
      </c>
      <c r="H59" s="37">
        <f>(NPV(H$57,$H$17:$Q$17)+PV(H$57,COUNT($H$8:$Q$8),0,-($Q$17*(1+$G59)/(H$57-$G59)))+$C$50-$C$51-$C$52-$C$53)*10^7/$C$57</f>
        <v>4743.74811656906</v>
      </c>
      <c r="I59" s="37">
        <f>(NPV(I$57,$H$17:$Q$17)+PV(I$57,COUNT($H$8:$Q$8),0,-($Q$17*(1+$G59)/(I$57-$G59)))+$C$50-$C$51-$C$52-$C$53)*10^7/$C$57</f>
        <v>3099.24130354999</v>
      </c>
      <c r="J59" s="37">
        <f>(NPV(J$57,$H$17:$Q$17)+PV(J$57,COUNT($H$8:$Q$8),0,-($Q$17*(1+$G59)/(J$57-$G59)))+$C$50-$C$51-$C$52-$C$53)*10^7/$C$57</f>
        <v>1924.5392251618</v>
      </c>
      <c r="K59" s="37">
        <f>(NPV(K$57,$H$17:$Q$17)+PV(K$57,COUNT($H$8:$Q$8),0,-($Q$17*(1+$G59)/(K$57-$G59)))+$C$50-$C$51-$C$52-$C$53)*10^7/$C$57</f>
        <v>1293.45405870001</v>
      </c>
      <c r="L59" s="37">
        <f>(NPV(L$57,$H$17:$Q$17)+PV(L$57,COUNT($H$8:$Q$8),0,-($Q$17*(1+$G59)/(L$57-$G59)))+$C$50-$C$51-$C$52-$C$53)*10^7/$C$57</f>
        <v>730.726390769757</v>
      </c>
      <c r="M59" s="8"/>
      <c r="N59" s="8"/>
      <c r="O59" s="8"/>
      <c r="P59" s="8"/>
      <c r="Q59" s="8"/>
    </row>
    <row r="60" ht="14.25" customHeight="1" spans="2:17">
      <c r="B60" s="8" t="s">
        <v>520</v>
      </c>
      <c r="C60" s="30">
        <f>Assumptions!D25</f>
        <v>1949</v>
      </c>
      <c r="D60" s="10"/>
      <c r="E60" s="8"/>
      <c r="F60" s="36"/>
      <c r="G60" s="33">
        <v>0.04</v>
      </c>
      <c r="H60" s="37">
        <f>(NPV(H$57,$H$17:$Q$17)+PV(H$57,COUNT($H$8:$Q$8),0,-($Q$17*(1+$G60)/(H$57-$G60)))+$C$50-$C$51-$C$52-$C$53)*10^7/$C$57</f>
        <v>6903.04303949111</v>
      </c>
      <c r="I60" s="37">
        <f>(NPV(I$57,$H$17:$Q$17)+PV(I$57,COUNT($H$8:$Q$8),0,-($Q$17*(1+$G60)/(I$57-$G60)))+$C$50-$C$51-$C$52-$C$53)*10^7/$C$57</f>
        <v>4160.87141247723</v>
      </c>
      <c r="J60" s="38">
        <f>(NPV(J$57,$H$17:$Q$17)+PV(J$57,COUNT($H$8:$Q$8),0,-($Q$17*(1+$G60)/(J$57-$G60)))+$C$50-$C$51-$C$52-$C$53)*10^7/$C$57</f>
        <v>2492.59487233862</v>
      </c>
      <c r="K60" s="37">
        <f>(NPV(K$57,$H$17:$Q$17)+PV(K$57,COUNT($H$8:$Q$8),0,-($Q$17*(1+$G60)/(K$57-$G60)))+$C$50-$C$51-$C$52-$C$53)*10^7/$C$57</f>
        <v>1675.53488437329</v>
      </c>
      <c r="L60" s="37">
        <f>(NPV(L$57,$H$17:$Q$17)+PV(L$57,COUNT($H$8:$Q$8),0,-($Q$17*(1+$G60)/(L$57-$G60)))+$C$50-$C$51-$C$52-$C$53)*10^7/$C$57</f>
        <v>986.296523601237</v>
      </c>
      <c r="M60" s="8"/>
      <c r="N60" s="8"/>
      <c r="O60" s="8"/>
      <c r="P60" s="8"/>
      <c r="Q60" s="8"/>
    </row>
    <row r="61" ht="14.25" customHeight="1" spans="2:17">
      <c r="B61" s="8"/>
      <c r="C61" s="8"/>
      <c r="D61" s="8"/>
      <c r="E61" s="8"/>
      <c r="F61" s="36"/>
      <c r="G61" s="33">
        <v>0.05</v>
      </c>
      <c r="H61" s="37">
        <f>(NPV(H$57,$H$17:$Q$17)+PV(H$57,COUNT($H$8:$Q$8),0,-($Q$17*(1+$G61)/(H$57-$G61)))+$C$50-$C$51-$C$52-$C$53)*10^7/$C$57</f>
        <v>12384.330151524</v>
      </c>
      <c r="I61" s="37">
        <f>(NPV(I$57,$H$17:$Q$17)+PV(I$57,COUNT($H$8:$Q$8),0,-($Q$17*(1+$G61)/(I$57-$G61)))+$C$50-$C$51-$C$52-$C$53)*10^7/$C$57</f>
        <v>6145.65813786293</v>
      </c>
      <c r="J61" s="37">
        <f>(NPV(J$57,$H$17:$Q$17)+PV(J$57,COUNT($H$8:$Q$8),0,-($Q$17*(1+$G61)/(J$57-$G61)))+$C$50-$C$51-$C$52-$C$53)*10^7/$C$57</f>
        <v>3391.24147840737</v>
      </c>
      <c r="K61" s="37">
        <f>(NPV(K$57,$H$17:$Q$17)+PV(K$57,COUNT($H$8:$Q$8),0,-($Q$17*(1+$G61)/(K$57-$G61)))+$C$50-$C$51-$C$52-$C$53)*10^7/$C$57</f>
        <v>2235.32772198763</v>
      </c>
      <c r="L61" s="37">
        <f>(NPV(L$57,$H$17:$Q$17)+PV(L$57,COUNT($H$8:$Q$8),0,-($Q$17*(1+$G61)/(L$57-$G61)))+$C$50-$C$51-$C$52-$C$53)*10^7/$C$57</f>
        <v>1338.30821599177</v>
      </c>
      <c r="M61" s="8"/>
      <c r="N61" s="8"/>
      <c r="O61" s="8"/>
      <c r="P61" s="8"/>
      <c r="Q61" s="8"/>
    </row>
    <row r="62" ht="14.25" customHeight="1" spans="2:17">
      <c r="B62" s="8" t="s">
        <v>521</v>
      </c>
      <c r="C62" s="19">
        <f>(C58-C60)/C60</f>
        <v>0.278909631779691</v>
      </c>
      <c r="D62" s="8"/>
      <c r="E62" s="8"/>
      <c r="F62" s="36"/>
      <c r="G62" s="33">
        <v>0.06</v>
      </c>
      <c r="H62" s="37">
        <f>(NPV(H$57,$H$17:$Q$17)+PV(H$57,COUNT($H$8:$Q$8),0,-($Q$17*(1+$G62)/(H$57-$G62)))+$C$50-$C$51-$C$52-$C$53)*10^7/$C$57</f>
        <v>54407.5313437763</v>
      </c>
      <c r="I62" s="37">
        <f>(NPV(I$57,$H$17:$Q$17)+PV(I$57,COUNT($H$8:$Q$8),0,-($Q$17*(1+$G62)/(I$57-$G62)))+$C$50-$C$51-$C$52-$C$53)*10^7/$C$57</f>
        <v>11183.9629023036</v>
      </c>
      <c r="J62" s="37">
        <f>(NPV(J$57,$H$17:$Q$17)+PV(J$57,COUNT($H$8:$Q$8),0,-($Q$17*(1+$G62)/(J$57-$G62)))+$C$50-$C$51-$C$52-$C$53)*10^7/$C$57</f>
        <v>5027.50929681949</v>
      </c>
      <c r="K62" s="37">
        <f>(NPV(K$57,$H$17:$Q$17)+PV(K$57,COUNT($H$8:$Q$8),0,-($Q$17*(1+$G62)/(K$57-$G62)))+$C$50-$C$51-$C$52-$C$53)*10^7/$C$57</f>
        <v>3134.38894603489</v>
      </c>
      <c r="L62" s="37">
        <f>(NPV(L$57,$H$17:$Q$17)+PV(L$57,COUNT($H$8:$Q$8),0,-($Q$17*(1+$G62)/(L$57-$G62)))+$C$50-$C$51-$C$52-$C$53)*10^7/$C$57</f>
        <v>1854.04627693603</v>
      </c>
      <c r="M62" s="8"/>
      <c r="N62" s="8"/>
      <c r="O62" s="8"/>
      <c r="P62" s="8"/>
      <c r="Q62" s="8"/>
    </row>
    <row r="63" ht="14.25" customHeight="1" spans="2:17">
      <c r="B63" s="8"/>
      <c r="C63" s="8"/>
      <c r="D63" s="8"/>
      <c r="E63" s="8"/>
      <c r="F63" s="8"/>
      <c r="G63" s="8"/>
      <c r="H63" s="8"/>
      <c r="I63" s="8"/>
      <c r="J63" s="8"/>
      <c r="K63" s="8"/>
      <c r="L63" s="8"/>
      <c r="M63" s="8"/>
      <c r="N63" s="8"/>
      <c r="O63" s="8"/>
      <c r="P63" s="8"/>
      <c r="Q63" s="8"/>
    </row>
  </sheetData>
  <mergeCells count="10">
    <mergeCell ref="B7:Q7"/>
    <mergeCell ref="B20:C20"/>
    <mergeCell ref="B29:E29"/>
    <mergeCell ref="B40:C40"/>
    <mergeCell ref="B44:C44"/>
    <mergeCell ref="F54:L54"/>
    <mergeCell ref="H56:L56"/>
    <mergeCell ref="B8:B9"/>
    <mergeCell ref="F58:F62"/>
    <mergeCell ref="A1:J4"/>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23</vt:i4>
      </vt:variant>
    </vt:vector>
  </HeadingPairs>
  <TitlesOfParts>
    <vt:vector size="23" baseType="lpstr">
      <vt:lpstr>Index</vt:lpstr>
      <vt:lpstr>Assumptions</vt:lpstr>
      <vt:lpstr>P&amp;L Input</vt:lpstr>
      <vt:lpstr>BS Input</vt:lpstr>
      <vt:lpstr>CF Input</vt:lpstr>
      <vt:lpstr>Common Sizing</vt:lpstr>
      <vt:lpstr>Revenue Buildup</vt:lpstr>
      <vt:lpstr>Cost Builup</vt:lpstr>
      <vt:lpstr>FAS</vt:lpstr>
      <vt:lpstr>BS items</vt:lpstr>
      <vt:lpstr>Working Capital</vt:lpstr>
      <vt:lpstr>Income Statement</vt:lpstr>
      <vt:lpstr>Balance Sheet</vt:lpstr>
      <vt:lpstr>Cash Flows</vt:lpstr>
      <vt:lpstr>Summary</vt:lpstr>
      <vt:lpstr>Ratio Analysis</vt:lpstr>
      <vt:lpstr>Standard Income Statement</vt:lpstr>
      <vt:lpstr>Charts</vt:lpstr>
      <vt:lpstr>Equity Beta</vt:lpstr>
      <vt:lpstr>Market Data</vt:lpstr>
      <vt:lpstr>Comps Data</vt:lpstr>
      <vt:lpstr>COMPS</vt:lpstr>
      <vt:lpstr>DCF 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ka655</dc:creator>
  <cp:lastModifiedBy>Kashish Thakur</cp:lastModifiedBy>
  <cp:revision>11</cp:revision>
  <dcterms:created xsi:type="dcterms:W3CDTF">2026-07-05T06:35:00Z</dcterms:created>
  <dcterms:modified xsi:type="dcterms:W3CDTF">2026-07-22T07:48:15Z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67387616F0B2488C87F36359A72B4BED_13</vt:lpwstr>
  </property>
  <property fmtid="{D5CDD505-2E9C-101B-9397-08002B2CF9AE}" pid="4" name="KSOProductBuildVer">
    <vt:lpwstr>1033-12.1.0.27458</vt:lpwstr>
  </property>
</Properties>
</file>